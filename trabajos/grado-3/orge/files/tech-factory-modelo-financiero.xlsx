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\Desktop\Uni\3 Tercero\ORGE\"/>
    </mc:Choice>
  </mc:AlternateContent>
  <xr:revisionPtr revIDLastSave="0" documentId="13_ncr:1_{C1A7BA13-50B7-4C36-A8D0-659388745D02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VENTA Y GASTO" sheetId="1" r:id="rId1"/>
    <sheet name="TESORERIA" sheetId="2" r:id="rId2"/>
    <sheet name="PRESTAMO" sheetId="3" r:id="rId3"/>
    <sheet name="CUENTA DE PYG" sheetId="4" r:id="rId4"/>
    <sheet name="BALANCES" sheetId="5" r:id="rId5"/>
    <sheet name="ANALISIS DE LA INVERSION" sheetId="6" r:id="rId6"/>
    <sheet name="AMORTIZACION" sheetId="7" r:id="rId7"/>
    <sheet name="ANÁLISIS ECONÓMICO FINANCIER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D11" i="2" s="1"/>
  <c r="D24" i="2" s="1"/>
  <c r="D10" i="8"/>
  <c r="C6" i="7"/>
  <c r="C5" i="7"/>
  <c r="N30" i="5"/>
  <c r="F29" i="5"/>
  <c r="N28" i="5"/>
  <c r="F28" i="5"/>
  <c r="N27" i="5"/>
  <c r="K5" i="5"/>
  <c r="C5" i="5"/>
  <c r="F4" i="5"/>
  <c r="D11" i="8" s="1"/>
  <c r="Q44" i="4"/>
  <c r="L44" i="4"/>
  <c r="P43" i="4"/>
  <c r="N43" i="4"/>
  <c r="P42" i="4"/>
  <c r="N42" i="4"/>
  <c r="Q41" i="4"/>
  <c r="P40" i="4"/>
  <c r="N40" i="4"/>
  <c r="Q39" i="4"/>
  <c r="P39" i="4"/>
  <c r="N39" i="4"/>
  <c r="P38" i="4"/>
  <c r="N38" i="4"/>
  <c r="F38" i="4"/>
  <c r="P37" i="4"/>
  <c r="N37" i="4"/>
  <c r="Q36" i="4"/>
  <c r="D36" i="4"/>
  <c r="P36" i="4" s="1"/>
  <c r="Q35" i="4"/>
  <c r="Q34" i="4"/>
  <c r="Q33" i="4"/>
  <c r="Q32" i="4"/>
  <c r="Q31" i="4"/>
  <c r="Q30" i="4"/>
  <c r="P29" i="4"/>
  <c r="N29" i="4"/>
  <c r="Q28" i="4"/>
  <c r="N14" i="4"/>
  <c r="F14" i="4"/>
  <c r="L12" i="4"/>
  <c r="N36" i="4" s="1"/>
  <c r="D12" i="4"/>
  <c r="L36" i="4" s="1"/>
  <c r="D6" i="4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E8" i="3"/>
  <c r="G4" i="3"/>
  <c r="C4" i="3"/>
  <c r="D4" i="3" s="1"/>
  <c r="B9" i="3" s="1"/>
  <c r="C3" i="3"/>
  <c r="Q23" i="2"/>
  <c r="P23" i="2"/>
  <c r="O20" i="2"/>
  <c r="N20" i="2"/>
  <c r="M20" i="2"/>
  <c r="L20" i="2"/>
  <c r="K20" i="2"/>
  <c r="J20" i="2"/>
  <c r="I20" i="2"/>
  <c r="H20" i="2"/>
  <c r="G20" i="2"/>
  <c r="F20" i="2"/>
  <c r="E20" i="2"/>
  <c r="D20" i="2"/>
  <c r="O17" i="2"/>
  <c r="N17" i="2"/>
  <c r="M17" i="2"/>
  <c r="L17" i="2"/>
  <c r="K17" i="2"/>
  <c r="J17" i="2"/>
  <c r="I17" i="2"/>
  <c r="H17" i="2"/>
  <c r="G17" i="2"/>
  <c r="F17" i="2"/>
  <c r="E17" i="2"/>
  <c r="D17" i="2"/>
  <c r="D8" i="4" s="1"/>
  <c r="L32" i="4" s="1"/>
  <c r="Q16" i="2"/>
  <c r="D34" i="4" s="1"/>
  <c r="P34" i="4" s="1"/>
  <c r="P16" i="2"/>
  <c r="L10" i="4" s="1"/>
  <c r="N34" i="4" s="1"/>
  <c r="O16" i="2"/>
  <c r="N16" i="2"/>
  <c r="M16" i="2"/>
  <c r="L16" i="2"/>
  <c r="K16" i="2"/>
  <c r="J16" i="2"/>
  <c r="I16" i="2"/>
  <c r="H16" i="2"/>
  <c r="G16" i="2"/>
  <c r="F16" i="2"/>
  <c r="E16" i="2"/>
  <c r="D16" i="2"/>
  <c r="D10" i="4" s="1"/>
  <c r="L34" i="4" s="1"/>
  <c r="C14" i="2"/>
  <c r="C13" i="2"/>
  <c r="C8" i="2"/>
  <c r="C6" i="2"/>
  <c r="O5" i="2"/>
  <c r="O8" i="2" s="1"/>
  <c r="N5" i="2"/>
  <c r="N8" i="2" s="1"/>
  <c r="M5" i="2"/>
  <c r="M8" i="2" s="1"/>
  <c r="L5" i="2"/>
  <c r="L8" i="2" s="1"/>
  <c r="K5" i="2"/>
  <c r="K8" i="2" s="1"/>
  <c r="J5" i="2"/>
  <c r="J8" i="2" s="1"/>
  <c r="I5" i="2"/>
  <c r="I8" i="2" s="1"/>
  <c r="H5" i="2"/>
  <c r="H8" i="2" s="1"/>
  <c r="G5" i="2"/>
  <c r="G8" i="2" s="1"/>
  <c r="F5" i="2"/>
  <c r="F8" i="2" s="1"/>
  <c r="E5" i="2"/>
  <c r="E8" i="2" s="1"/>
  <c r="D5" i="2"/>
  <c r="C58" i="1"/>
  <c r="D57" i="1"/>
  <c r="D56" i="1"/>
  <c r="V55" i="1"/>
  <c r="U55" i="1"/>
  <c r="T55" i="1"/>
  <c r="S55" i="1"/>
  <c r="R55" i="1"/>
  <c r="Q55" i="1"/>
  <c r="P55" i="1"/>
  <c r="O55" i="1"/>
  <c r="N55" i="1"/>
  <c r="M55" i="1"/>
  <c r="L55" i="1"/>
  <c r="K55" i="1"/>
  <c r="W55" i="1" s="1"/>
  <c r="D55" i="1"/>
  <c r="D54" i="1"/>
  <c r="D53" i="1"/>
  <c r="D52" i="1"/>
  <c r="V51" i="1"/>
  <c r="U51" i="1"/>
  <c r="T51" i="1"/>
  <c r="S51" i="1"/>
  <c r="R51" i="1"/>
  <c r="Q51" i="1"/>
  <c r="P51" i="1"/>
  <c r="O51" i="1"/>
  <c r="N51" i="1"/>
  <c r="M51" i="1"/>
  <c r="L51" i="1"/>
  <c r="K51" i="1"/>
  <c r="W51" i="1" s="1"/>
  <c r="D51" i="1"/>
  <c r="V47" i="1"/>
  <c r="U47" i="1"/>
  <c r="T47" i="1"/>
  <c r="S47" i="1"/>
  <c r="R47" i="1"/>
  <c r="Q47" i="1"/>
  <c r="P47" i="1"/>
  <c r="O47" i="1"/>
  <c r="N47" i="1"/>
  <c r="M47" i="1"/>
  <c r="L47" i="1"/>
  <c r="K47" i="1"/>
  <c r="W47" i="1" s="1"/>
  <c r="E46" i="1"/>
  <c r="F46" i="1" s="1"/>
  <c r="V43" i="1"/>
  <c r="U43" i="1"/>
  <c r="T43" i="1"/>
  <c r="S43" i="1"/>
  <c r="R43" i="1"/>
  <c r="Q43" i="1"/>
  <c r="P43" i="1"/>
  <c r="O43" i="1"/>
  <c r="N43" i="1"/>
  <c r="M43" i="1"/>
  <c r="L43" i="1"/>
  <c r="K43" i="1"/>
  <c r="W43" i="1" s="1"/>
  <c r="B39" i="1"/>
  <c r="C10" i="2" s="1"/>
  <c r="H30" i="1"/>
  <c r="F30" i="1"/>
  <c r="D30" i="1"/>
  <c r="Q29" i="1"/>
  <c r="Q28" i="1"/>
  <c r="Q27" i="1"/>
  <c r="Q26" i="1"/>
  <c r="Q25" i="1"/>
  <c r="Q24" i="1"/>
  <c r="H21" i="1"/>
  <c r="F21" i="1"/>
  <c r="D21" i="1"/>
  <c r="B20" i="1"/>
  <c r="G17" i="1"/>
  <c r="F17" i="1"/>
  <c r="E17" i="1"/>
  <c r="D17" i="1"/>
  <c r="C17" i="1"/>
  <c r="B17" i="1"/>
  <c r="G16" i="1"/>
  <c r="F16" i="1"/>
  <c r="E16" i="1"/>
  <c r="D16" i="1"/>
  <c r="C16" i="1"/>
  <c r="B16" i="1"/>
  <c r="T9" i="1"/>
  <c r="S9" i="1"/>
  <c r="R9" i="1"/>
  <c r="N9" i="1"/>
  <c r="M9" i="1"/>
  <c r="L9" i="1"/>
  <c r="T8" i="1"/>
  <c r="S8" i="1"/>
  <c r="R8" i="1"/>
  <c r="N8" i="1"/>
  <c r="M8" i="1"/>
  <c r="L8" i="1"/>
  <c r="T7" i="1"/>
  <c r="S7" i="1"/>
  <c r="R7" i="1"/>
  <c r="N7" i="1"/>
  <c r="M7" i="1"/>
  <c r="L7" i="1"/>
  <c r="T6" i="1"/>
  <c r="S6" i="1"/>
  <c r="R6" i="1"/>
  <c r="N6" i="1"/>
  <c r="M6" i="1"/>
  <c r="L6" i="1"/>
  <c r="T5" i="1"/>
  <c r="S5" i="1"/>
  <c r="R5" i="1"/>
  <c r="N5" i="1"/>
  <c r="M5" i="1"/>
  <c r="L5" i="1"/>
  <c r="T4" i="1"/>
  <c r="S4" i="1"/>
  <c r="R4" i="1"/>
  <c r="N4" i="1"/>
  <c r="N10" i="1" s="1"/>
  <c r="M4" i="1"/>
  <c r="M10" i="1" s="1"/>
  <c r="L4" i="1"/>
  <c r="L10" i="1" s="1"/>
  <c r="L34" i="1" s="1"/>
  <c r="G6" i="7" l="1"/>
  <c r="E6" i="7"/>
  <c r="F6" i="7"/>
  <c r="H6" i="7"/>
  <c r="I6" i="7" s="1"/>
  <c r="J6" i="7" s="1"/>
  <c r="F5" i="7"/>
  <c r="E5" i="7"/>
  <c r="H5" i="7" s="1"/>
  <c r="I5" i="7" s="1"/>
  <c r="J5" i="7" s="1"/>
  <c r="G5" i="7"/>
  <c r="Q38" i="4"/>
  <c r="O38" i="4"/>
  <c r="L30" i="4"/>
  <c r="C9" i="3"/>
  <c r="D9" i="3"/>
  <c r="E9" i="3" s="1"/>
  <c r="B10" i="3"/>
  <c r="K27" i="5"/>
  <c r="K8" i="5"/>
  <c r="C8" i="5"/>
  <c r="C27" i="5"/>
  <c r="K26" i="5"/>
  <c r="C7" i="5"/>
  <c r="C26" i="5"/>
  <c r="K7" i="5"/>
  <c r="D8" i="2"/>
  <c r="I32" i="2" s="1"/>
  <c r="D4" i="4"/>
  <c r="E57" i="1"/>
  <c r="F57" i="1"/>
  <c r="G57" i="1"/>
  <c r="F56" i="1"/>
  <c r="E56" i="1"/>
  <c r="G56" i="1"/>
  <c r="E55" i="1"/>
  <c r="G55" i="1"/>
  <c r="F55" i="1"/>
  <c r="F54" i="1"/>
  <c r="G54" i="1"/>
  <c r="E54" i="1"/>
  <c r="G53" i="1"/>
  <c r="E53" i="1"/>
  <c r="F53" i="1"/>
  <c r="D58" i="1"/>
  <c r="E52" i="1"/>
  <c r="G52" i="1"/>
  <c r="F52" i="1"/>
  <c r="E51" i="1"/>
  <c r="G51" i="1"/>
  <c r="F51" i="1"/>
  <c r="L11" i="2"/>
  <c r="L24" i="2" s="1"/>
  <c r="L25" i="2" s="1"/>
  <c r="F11" i="2"/>
  <c r="F24" i="2" s="1"/>
  <c r="F25" i="2" s="1"/>
  <c r="E11" i="2"/>
  <c r="E24" i="2" s="1"/>
  <c r="E25" i="2" s="1"/>
  <c r="H11" i="2"/>
  <c r="H24" i="2" s="1"/>
  <c r="H25" i="2" s="1"/>
  <c r="I11" i="2"/>
  <c r="I24" i="2" s="1"/>
  <c r="I25" i="2" s="1"/>
  <c r="F40" i="1"/>
  <c r="N11" i="2"/>
  <c r="N24" i="2" s="1"/>
  <c r="N25" i="2" s="1"/>
  <c r="G11" i="2"/>
  <c r="G24" i="2" s="1"/>
  <c r="G25" i="2" s="1"/>
  <c r="J11" i="2"/>
  <c r="J24" i="2" s="1"/>
  <c r="J25" i="2" s="1"/>
  <c r="K11" i="2"/>
  <c r="K24" i="2" s="1"/>
  <c r="K25" i="2" s="1"/>
  <c r="M11" i="2"/>
  <c r="M24" i="2" s="1"/>
  <c r="M25" i="2" s="1"/>
  <c r="O11" i="2"/>
  <c r="O24" i="2" s="1"/>
  <c r="O25" i="2" s="1"/>
  <c r="K6" i="5"/>
  <c r="C25" i="5"/>
  <c r="K25" i="5"/>
  <c r="C24" i="2"/>
  <c r="C25" i="2" s="1"/>
  <c r="C6" i="5"/>
  <c r="B34" i="1"/>
  <c r="E4" i="6" s="1"/>
  <c r="C4" i="7"/>
  <c r="N29" i="1"/>
  <c r="N19" i="1"/>
  <c r="Q19" i="1"/>
  <c r="M19" i="1"/>
  <c r="M29" i="1"/>
  <c r="P19" i="1"/>
  <c r="L19" i="1"/>
  <c r="O19" i="1"/>
  <c r="L29" i="1"/>
  <c r="N28" i="1"/>
  <c r="Q18" i="1"/>
  <c r="N18" i="1"/>
  <c r="M18" i="1"/>
  <c r="M28" i="1"/>
  <c r="P18" i="1"/>
  <c r="O18" i="1"/>
  <c r="L18" i="1"/>
  <c r="L28" i="1"/>
  <c r="N17" i="1"/>
  <c r="N27" i="1"/>
  <c r="Q17" i="1"/>
  <c r="P17" i="1"/>
  <c r="M27" i="1"/>
  <c r="M17" i="1"/>
  <c r="L27" i="1"/>
  <c r="L17" i="1"/>
  <c r="O17" i="1"/>
  <c r="N26" i="1"/>
  <c r="Q16" i="1"/>
  <c r="N16" i="1"/>
  <c r="M16" i="1"/>
  <c r="M26" i="1"/>
  <c r="P16" i="1"/>
  <c r="L16" i="1"/>
  <c r="O16" i="1"/>
  <c r="L26" i="1"/>
  <c r="N15" i="1"/>
  <c r="N25" i="1"/>
  <c r="Q15" i="1"/>
  <c r="M15" i="1"/>
  <c r="M25" i="1"/>
  <c r="P15" i="1"/>
  <c r="L15" i="1"/>
  <c r="L25" i="1"/>
  <c r="O15" i="1"/>
  <c r="N14" i="1"/>
  <c r="Q14" i="1"/>
  <c r="N24" i="1"/>
  <c r="T10" i="1"/>
  <c r="S10" i="1"/>
  <c r="P14" i="1"/>
  <c r="M14" i="1"/>
  <c r="M24" i="1"/>
  <c r="R10" i="1"/>
  <c r="L14" i="1"/>
  <c r="O14" i="1"/>
  <c r="L24" i="1"/>
  <c r="N34" i="1"/>
  <c r="Q5" i="2"/>
  <c r="P5" i="2"/>
  <c r="M34" i="1"/>
  <c r="C10" i="3" l="1"/>
  <c r="E18" i="2" s="1"/>
  <c r="D18" i="2"/>
  <c r="D19" i="2"/>
  <c r="D10" i="3"/>
  <c r="B11" i="3"/>
  <c r="C27" i="2"/>
  <c r="L28" i="4"/>
  <c r="F3" i="4"/>
  <c r="M27" i="4" s="1"/>
  <c r="D12" i="2"/>
  <c r="D9" i="4" s="1"/>
  <c r="L33" i="4" s="1"/>
  <c r="H12" i="2"/>
  <c r="J12" i="2"/>
  <c r="M12" i="2"/>
  <c r="F12" i="2"/>
  <c r="K12" i="2"/>
  <c r="N12" i="2"/>
  <c r="O12" i="2"/>
  <c r="E12" i="2"/>
  <c r="G12" i="2"/>
  <c r="I12" i="2"/>
  <c r="L12" i="2"/>
  <c r="P11" i="2"/>
  <c r="Q11" i="2"/>
  <c r="D7" i="4"/>
  <c r="F4" i="7"/>
  <c r="F7" i="7" s="1"/>
  <c r="H4" i="7"/>
  <c r="I4" i="7" s="1"/>
  <c r="J4" i="7" s="1"/>
  <c r="J7" i="7" s="1"/>
  <c r="E4" i="7"/>
  <c r="E7" i="7" s="1"/>
  <c r="G4" i="7"/>
  <c r="G7" i="7" s="1"/>
  <c r="C7" i="7"/>
  <c r="Q8" i="2"/>
  <c r="D28" i="4"/>
  <c r="P8" i="2"/>
  <c r="L4" i="4"/>
  <c r="E58" i="1"/>
  <c r="G58" i="1"/>
  <c r="F58" i="1"/>
  <c r="C4" i="5"/>
  <c r="N20" i="1"/>
  <c r="Q20" i="1"/>
  <c r="N30" i="1"/>
  <c r="P20" i="1"/>
  <c r="M20" i="1"/>
  <c r="M30" i="1"/>
  <c r="L20" i="1"/>
  <c r="D26" i="1" s="1"/>
  <c r="O20" i="1"/>
  <c r="D28" i="1" s="1"/>
  <c r="L30" i="1"/>
  <c r="B12" i="3" l="1"/>
  <c r="C13" i="5"/>
  <c r="L7" i="4"/>
  <c r="N31" i="4" s="1"/>
  <c r="D31" i="4"/>
  <c r="P31" i="4" s="1"/>
  <c r="F5" i="4"/>
  <c r="L31" i="4"/>
  <c r="D25" i="2"/>
  <c r="I31" i="2"/>
  <c r="P28" i="4"/>
  <c r="F27" i="4"/>
  <c r="N3" i="4"/>
  <c r="N28" i="4"/>
  <c r="Q12" i="2"/>
  <c r="D33" i="4" s="1"/>
  <c r="P33" i="4" s="1"/>
  <c r="P12" i="2"/>
  <c r="L9" i="4" s="1"/>
  <c r="N33" i="4" s="1"/>
  <c r="Q20" i="2"/>
  <c r="D30" i="4" s="1"/>
  <c r="H26" i="1"/>
  <c r="H28" i="1"/>
  <c r="Q17" i="2"/>
  <c r="D32" i="4" s="1"/>
  <c r="P32" i="4" s="1"/>
  <c r="P17" i="2"/>
  <c r="L8" i="4" s="1"/>
  <c r="N32" i="4" s="1"/>
  <c r="F28" i="1"/>
  <c r="P20" i="2"/>
  <c r="L6" i="4" s="1"/>
  <c r="F26" i="1"/>
  <c r="C10" i="7"/>
  <c r="F47" i="1" s="1"/>
  <c r="E47" i="1" s="1"/>
  <c r="D47" i="1" s="1"/>
  <c r="E19" i="2"/>
  <c r="E10" i="3"/>
  <c r="B13" i="3" l="1"/>
  <c r="C10" i="5"/>
  <c r="F13" i="4"/>
  <c r="M29" i="4"/>
  <c r="Q27" i="4"/>
  <c r="O27" i="4"/>
  <c r="P30" i="4"/>
  <c r="F29" i="4"/>
  <c r="N30" i="4"/>
  <c r="N5" i="4"/>
  <c r="H31" i="1"/>
  <c r="F31" i="1"/>
  <c r="D31" i="1"/>
  <c r="C11" i="3"/>
  <c r="C26" i="2"/>
  <c r="E5" i="6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B14" i="3" l="1"/>
  <c r="C15" i="5"/>
  <c r="E16" i="8"/>
  <c r="M37" i="4"/>
  <c r="D11" i="4"/>
  <c r="D35" i="4"/>
  <c r="L11" i="4"/>
  <c r="N35" i="4" s="1"/>
  <c r="D11" i="3"/>
  <c r="F18" i="2"/>
  <c r="E10" i="6" a="1"/>
  <c r="K13" i="5"/>
  <c r="Q29" i="4"/>
  <c r="F37" i="4"/>
  <c r="O29" i="4"/>
  <c r="N13" i="4"/>
  <c r="B15" i="3" l="1"/>
  <c r="D3" i="8"/>
  <c r="L35" i="4"/>
  <c r="K9" i="5"/>
  <c r="K4" i="5" s="1"/>
  <c r="G14" i="8"/>
  <c r="K28" i="5"/>
  <c r="K23" i="5" s="1"/>
  <c r="P35" i="4"/>
  <c r="C28" i="5"/>
  <c r="C23" i="5" s="1"/>
  <c r="E11" i="3"/>
  <c r="F19" i="2"/>
  <c r="K10" i="5"/>
  <c r="Q37" i="4"/>
  <c r="O37" i="4"/>
  <c r="B16" i="3" l="1"/>
  <c r="C12" i="3"/>
  <c r="K15" i="5"/>
  <c r="B17" i="3" l="1"/>
  <c r="D12" i="3"/>
  <c r="G18" i="2"/>
  <c r="B18" i="3" l="1"/>
  <c r="E12" i="3"/>
  <c r="G19" i="2"/>
  <c r="B19" i="3" l="1"/>
  <c r="C13" i="3"/>
  <c r="B20" i="3" l="1"/>
  <c r="D13" i="3"/>
  <c r="H18" i="2"/>
  <c r="D23" i="1" l="1"/>
  <c r="B21" i="3"/>
  <c r="E13" i="3"/>
  <c r="H19" i="2"/>
  <c r="B22" i="3" l="1"/>
  <c r="C14" i="3"/>
  <c r="B23" i="3" l="1"/>
  <c r="D14" i="3"/>
  <c r="I18" i="2"/>
  <c r="B24" i="3" l="1"/>
  <c r="E14" i="3"/>
  <c r="I19" i="2"/>
  <c r="B25" i="3" l="1"/>
  <c r="C15" i="3"/>
  <c r="B26" i="3" l="1"/>
  <c r="D15" i="3"/>
  <c r="J18" i="2"/>
  <c r="B27" i="3" l="1"/>
  <c r="E15" i="3"/>
  <c r="J19" i="2"/>
  <c r="B28" i="3" l="1"/>
  <c r="C16" i="3"/>
  <c r="B29" i="3" l="1"/>
  <c r="D16" i="3"/>
  <c r="K18" i="2"/>
  <c r="B30" i="3" l="1"/>
  <c r="E16" i="3"/>
  <c r="K19" i="2"/>
  <c r="B31" i="3" l="1"/>
  <c r="C17" i="3"/>
  <c r="B32" i="3" l="1"/>
  <c r="D17" i="3"/>
  <c r="L18" i="2"/>
  <c r="F23" i="1" l="1"/>
  <c r="B33" i="3"/>
  <c r="E17" i="3"/>
  <c r="L19" i="2"/>
  <c r="B34" i="3" l="1"/>
  <c r="C18" i="3"/>
  <c r="B35" i="3" l="1"/>
  <c r="D18" i="3"/>
  <c r="M18" i="2"/>
  <c r="B36" i="3" l="1"/>
  <c r="E18" i="3"/>
  <c r="M19" i="2"/>
  <c r="B37" i="3" l="1"/>
  <c r="C19" i="3"/>
  <c r="B38" i="3" l="1"/>
  <c r="D19" i="3"/>
  <c r="N18" i="2"/>
  <c r="B39" i="3" l="1"/>
  <c r="E19" i="3"/>
  <c r="N19" i="2"/>
  <c r="B40" i="3" l="1"/>
  <c r="C20" i="3"/>
  <c r="B41" i="3" l="1"/>
  <c r="D20" i="3"/>
  <c r="I18" i="3"/>
  <c r="D17" i="4" s="1"/>
  <c r="I14" i="3"/>
  <c r="D27" i="1" s="1"/>
  <c r="D34" i="1" s="1"/>
  <c r="L35" i="1" s="1"/>
  <c r="L36" i="1" s="1"/>
  <c r="O18" i="2"/>
  <c r="B42" i="3" l="1"/>
  <c r="E20" i="3"/>
  <c r="O19" i="2"/>
  <c r="I12" i="3"/>
  <c r="I15" i="3"/>
  <c r="L41" i="4"/>
  <c r="F16" i="4"/>
  <c r="B43" i="3" l="1"/>
  <c r="C21" i="3"/>
  <c r="F20" i="3"/>
  <c r="I13" i="3"/>
  <c r="F10" i="5" s="1"/>
  <c r="F9" i="5" s="1"/>
  <c r="F12" i="5"/>
  <c r="F11" i="5" s="1"/>
  <c r="F18" i="4"/>
  <c r="M40" i="4"/>
  <c r="B44" i="3" l="1"/>
  <c r="D21" i="3"/>
  <c r="D9" i="8"/>
  <c r="D6" i="8"/>
  <c r="D7" i="8"/>
  <c r="D8" i="8"/>
  <c r="F19" i="4"/>
  <c r="M42" i="4"/>
  <c r="F8" i="5"/>
  <c r="H23" i="1" l="1"/>
  <c r="B45" i="3"/>
  <c r="E21" i="3"/>
  <c r="M43" i="4"/>
  <c r="F21" i="4"/>
  <c r="F15" i="5"/>
  <c r="D4" i="8"/>
  <c r="D5" i="8"/>
  <c r="B46" i="3" l="1"/>
  <c r="C22" i="3"/>
  <c r="M45" i="4"/>
  <c r="N7" i="5"/>
  <c r="F25" i="5"/>
  <c r="E15" i="8"/>
  <c r="B47" i="3" l="1"/>
  <c r="D22" i="3"/>
  <c r="E18" i="8"/>
  <c r="E10" i="8"/>
  <c r="N4" i="5"/>
  <c r="E14" i="8"/>
  <c r="E17" i="8"/>
  <c r="B48" i="3" l="1"/>
  <c r="E22" i="3"/>
  <c r="E3" i="8"/>
  <c r="E11" i="8"/>
  <c r="B49" i="3" l="1"/>
  <c r="C23" i="3"/>
  <c r="B50" i="3" l="1"/>
  <c r="D23" i="3"/>
  <c r="B51" i="3" l="1"/>
  <c r="E23" i="3"/>
  <c r="B52" i="3" l="1"/>
  <c r="C24" i="3"/>
  <c r="B53" i="3" l="1"/>
  <c r="D24" i="3"/>
  <c r="B54" i="3" l="1"/>
  <c r="E24" i="3"/>
  <c r="B55" i="3" l="1"/>
  <c r="C25" i="3"/>
  <c r="D25" i="3" s="1"/>
  <c r="E25" i="3" s="1"/>
  <c r="B56" i="3" l="1"/>
  <c r="C26" i="3"/>
  <c r="D26" i="3" s="1"/>
  <c r="E26" i="3"/>
  <c r="B57" i="3" l="1"/>
  <c r="C27" i="3"/>
  <c r="D27" i="3" s="1"/>
  <c r="E27" i="3"/>
  <c r="B58" i="3" l="1"/>
  <c r="C28" i="3"/>
  <c r="D28" i="3" s="1"/>
  <c r="E28" i="3"/>
  <c r="B59" i="3" l="1"/>
  <c r="C29" i="3"/>
  <c r="D29" i="3" s="1"/>
  <c r="E29" i="3"/>
  <c r="B60" i="3" l="1"/>
  <c r="C30" i="3"/>
  <c r="D30" i="3" s="1"/>
  <c r="E30" i="3"/>
  <c r="B61" i="3" l="1"/>
  <c r="C31" i="3"/>
  <c r="D31" i="3" s="1"/>
  <c r="E31" i="3" s="1"/>
  <c r="B62" i="3" l="1"/>
  <c r="C32" i="3"/>
  <c r="B63" i="3" l="1"/>
  <c r="I26" i="3"/>
  <c r="P18" i="2"/>
  <c r="I30" i="3"/>
  <c r="L17" i="4" s="1"/>
  <c r="F27" i="1"/>
  <c r="F34" i="1" s="1"/>
  <c r="M35" i="1" s="1"/>
  <c r="M36" i="1" s="1"/>
  <c r="D32" i="3"/>
  <c r="B64" i="3" l="1"/>
  <c r="N41" i="4"/>
  <c r="N16" i="4"/>
  <c r="E32" i="3"/>
  <c r="I27" i="3"/>
  <c r="P19" i="2" s="1"/>
  <c r="I24" i="3"/>
  <c r="B65" i="3" l="1"/>
  <c r="N18" i="4"/>
  <c r="O40" i="4"/>
  <c r="I25" i="3"/>
  <c r="N10" i="5" s="1"/>
  <c r="C33" i="3"/>
  <c r="N11" i="5"/>
  <c r="N12" i="5"/>
  <c r="B66" i="3" l="1"/>
  <c r="N19" i="4"/>
  <c r="O42" i="4"/>
  <c r="N8" i="5"/>
  <c r="N9" i="5"/>
  <c r="D33" i="3"/>
  <c r="E9" i="8"/>
  <c r="E6" i="8"/>
  <c r="E8" i="8"/>
  <c r="E7" i="8"/>
  <c r="B67" i="3" l="1"/>
  <c r="O43" i="4"/>
  <c r="L20" i="4"/>
  <c r="N21" i="4" s="1"/>
  <c r="E5" i="8"/>
  <c r="N15" i="5"/>
  <c r="E4" i="8"/>
  <c r="E33" i="3"/>
  <c r="B68" i="3" l="1"/>
  <c r="N44" i="4"/>
  <c r="P21" i="2"/>
  <c r="P24" i="2" s="1"/>
  <c r="P26" i="2" s="1"/>
  <c r="O45" i="4"/>
  <c r="F26" i="5"/>
  <c r="F15" i="8"/>
  <c r="C34" i="3"/>
  <c r="P27" i="2" l="1"/>
  <c r="E6" i="6"/>
  <c r="B69" i="3"/>
  <c r="F23" i="5"/>
  <c r="N25" i="5"/>
  <c r="F10" i="8"/>
  <c r="F17" i="8"/>
  <c r="F14" i="8"/>
  <c r="D34" i="3"/>
  <c r="C32" i="5" l="1"/>
  <c r="C29" i="5" s="1"/>
  <c r="C34" i="5" s="1"/>
  <c r="B70" i="3"/>
  <c r="E34" i="3"/>
  <c r="F3" i="8"/>
  <c r="F11" i="8"/>
  <c r="F18" i="8" l="1"/>
  <c r="F16" i="8"/>
  <c r="B71" i="3"/>
  <c r="C35" i="3"/>
  <c r="B72" i="3" l="1"/>
  <c r="D35" i="3"/>
  <c r="B73" i="3" l="1"/>
  <c r="E35" i="3"/>
  <c r="B74" i="3" l="1"/>
  <c r="C36" i="3"/>
  <c r="B75" i="3" l="1"/>
  <c r="D36" i="3"/>
  <c r="B76" i="3" l="1"/>
  <c r="E36" i="3"/>
  <c r="B77" i="3" l="1"/>
  <c r="C37" i="3"/>
  <c r="D37" i="3" s="1"/>
  <c r="E37" i="3" s="1"/>
  <c r="B78" i="3" l="1"/>
  <c r="C38" i="3"/>
  <c r="D38" i="3" s="1"/>
  <c r="E38" i="3" s="1"/>
  <c r="B79" i="3" l="1"/>
  <c r="C39" i="3"/>
  <c r="D39" i="3" s="1"/>
  <c r="E39" i="3" s="1"/>
  <c r="B80" i="3" l="1"/>
  <c r="C40" i="3"/>
  <c r="D40" i="3" s="1"/>
  <c r="E40" i="3" s="1"/>
  <c r="B81" i="3" l="1"/>
  <c r="C41" i="3"/>
  <c r="D41" i="3" s="1"/>
  <c r="E41" i="3"/>
  <c r="B82" i="3" l="1"/>
  <c r="C42" i="3"/>
  <c r="D42" i="3" s="1"/>
  <c r="E42" i="3" s="1"/>
  <c r="B83" i="3" l="1"/>
  <c r="C43" i="3"/>
  <c r="D43" i="3" s="1"/>
  <c r="E43" i="3"/>
  <c r="B84" i="3" l="1"/>
  <c r="C44" i="3"/>
  <c r="B85" i="3" l="1"/>
  <c r="H27" i="1"/>
  <c r="H34" i="1" s="1"/>
  <c r="N35" i="1" s="1"/>
  <c r="N36" i="1" s="1"/>
  <c r="L37" i="1" s="1"/>
  <c r="Q18" i="2"/>
  <c r="I38" i="3"/>
  <c r="I42" i="3"/>
  <c r="D41" i="4" s="1"/>
  <c r="D44" i="3"/>
  <c r="B86" i="3" l="1"/>
  <c r="F40" i="4"/>
  <c r="P41" i="4"/>
  <c r="E44" i="3"/>
  <c r="I36" i="3"/>
  <c r="F31" i="5" s="1"/>
  <c r="F30" i="5" s="1"/>
  <c r="I39" i="3"/>
  <c r="Q19" i="2" s="1"/>
  <c r="B87" i="3" l="1"/>
  <c r="F42" i="4"/>
  <c r="Q40" i="4"/>
  <c r="C45" i="3"/>
  <c r="D45" i="3" s="1"/>
  <c r="E45" i="3" s="1"/>
  <c r="F6" i="8"/>
  <c r="F9" i="8"/>
  <c r="F8" i="8"/>
  <c r="F7" i="8"/>
  <c r="F27" i="5"/>
  <c r="B88" i="3" l="1"/>
  <c r="F43" i="4"/>
  <c r="Q42" i="4"/>
  <c r="C46" i="3"/>
  <c r="D46" i="3" s="1"/>
  <c r="E46" i="3" s="1"/>
  <c r="F5" i="8"/>
  <c r="F4" i="8"/>
  <c r="F34" i="5"/>
  <c r="B89" i="3" l="1"/>
  <c r="D44" i="4"/>
  <c r="F45" i="4" s="1"/>
  <c r="Q43" i="4"/>
  <c r="C47" i="3"/>
  <c r="D47" i="3" s="1"/>
  <c r="E47" i="3"/>
  <c r="B90" i="3" l="1"/>
  <c r="Q45" i="4"/>
  <c r="N26" i="5"/>
  <c r="G15" i="8"/>
  <c r="G17" i="8" s="1"/>
  <c r="P44" i="4"/>
  <c r="Q21" i="2"/>
  <c r="Q24" i="2" s="1"/>
  <c r="Q26" i="2" s="1"/>
  <c r="C48" i="3"/>
  <c r="D48" i="3" s="1"/>
  <c r="E48" i="3"/>
  <c r="Q27" i="2" l="1"/>
  <c r="K32" i="5" s="1"/>
  <c r="K29" i="5" s="1"/>
  <c r="E7" i="6"/>
  <c r="B91" i="3"/>
  <c r="N23" i="5"/>
  <c r="G11" i="8" s="1"/>
  <c r="G10" i="8"/>
  <c r="C49" i="3"/>
  <c r="D49" i="3" s="1"/>
  <c r="E49" i="3"/>
  <c r="G9" i="8" l="1"/>
  <c r="K34" i="5"/>
  <c r="E9" i="6"/>
  <c r="E10" i="6"/>
  <c r="B92" i="3"/>
  <c r="G4" i="8"/>
  <c r="N34" i="5"/>
  <c r="G3" i="8"/>
  <c r="C50" i="3"/>
  <c r="D50" i="3" s="1"/>
  <c r="E50" i="3" s="1"/>
  <c r="G18" i="8" l="1"/>
  <c r="G16" i="8"/>
  <c r="B93" i="3"/>
  <c r="C51" i="3"/>
  <c r="D51" i="3" s="1"/>
  <c r="E51" i="3"/>
  <c r="B94" i="3" l="1"/>
  <c r="C52" i="3"/>
  <c r="D52" i="3" s="1"/>
  <c r="E52" i="3"/>
  <c r="B95" i="3" l="1"/>
  <c r="C53" i="3"/>
  <c r="D53" i="3" s="1"/>
  <c r="E53" i="3"/>
  <c r="B96" i="3" l="1"/>
  <c r="C54" i="3"/>
  <c r="D54" i="3" s="1"/>
  <c r="E54" i="3"/>
  <c r="B97" i="3" l="1"/>
  <c r="C55" i="3"/>
  <c r="D55" i="3" s="1"/>
  <c r="E55" i="3"/>
  <c r="B98" i="3" l="1"/>
  <c r="C56" i="3"/>
  <c r="D56" i="3" s="1"/>
  <c r="E56" i="3" s="1"/>
  <c r="B99" i="3" l="1"/>
  <c r="C57" i="3"/>
  <c r="D57" i="3" s="1"/>
  <c r="E57" i="3"/>
  <c r="B100" i="3" l="1"/>
  <c r="C58" i="3"/>
  <c r="D58" i="3" s="1"/>
  <c r="E58" i="3" s="1"/>
  <c r="B101" i="3" l="1"/>
  <c r="C59" i="3"/>
  <c r="D59" i="3" s="1"/>
  <c r="E59" i="3" s="1"/>
  <c r="B102" i="3" l="1"/>
  <c r="C60" i="3"/>
  <c r="D60" i="3" s="1"/>
  <c r="E60" i="3" s="1"/>
  <c r="B103" i="3" l="1"/>
  <c r="C61" i="3"/>
  <c r="D61" i="3" s="1"/>
  <c r="E61" i="3" s="1"/>
  <c r="B104" i="3" l="1"/>
  <c r="C62" i="3"/>
  <c r="D62" i="3" s="1"/>
  <c r="E62" i="3"/>
  <c r="B105" i="3" l="1"/>
  <c r="C63" i="3"/>
  <c r="D63" i="3" s="1"/>
  <c r="E63" i="3"/>
  <c r="B106" i="3" l="1"/>
  <c r="C64" i="3"/>
  <c r="D64" i="3" s="1"/>
  <c r="E64" i="3"/>
  <c r="B107" i="3" l="1"/>
  <c r="C65" i="3"/>
  <c r="D65" i="3" s="1"/>
  <c r="E65" i="3"/>
  <c r="B108" i="3" l="1"/>
  <c r="C66" i="3"/>
  <c r="D66" i="3" s="1"/>
  <c r="E66" i="3" s="1"/>
  <c r="B109" i="3" l="1"/>
  <c r="C67" i="3"/>
  <c r="D67" i="3" s="1"/>
  <c r="E67" i="3"/>
  <c r="B110" i="3" l="1"/>
  <c r="C68" i="3"/>
  <c r="D68" i="3" s="1"/>
  <c r="E68" i="3" s="1"/>
  <c r="B111" i="3" l="1"/>
  <c r="C69" i="3"/>
  <c r="D69" i="3" s="1"/>
  <c r="E69" i="3"/>
  <c r="B112" i="3" l="1"/>
  <c r="C70" i="3"/>
  <c r="D70" i="3" s="1"/>
  <c r="E70" i="3" s="1"/>
  <c r="B113" i="3" l="1"/>
  <c r="C71" i="3"/>
  <c r="D71" i="3" s="1"/>
  <c r="E71" i="3" s="1"/>
  <c r="B114" i="3" l="1"/>
  <c r="C72" i="3"/>
  <c r="D72" i="3" s="1"/>
  <c r="E72" i="3" s="1"/>
  <c r="B115" i="3" l="1"/>
  <c r="C73" i="3"/>
  <c r="D73" i="3" s="1"/>
  <c r="E73" i="3"/>
  <c r="B116" i="3" l="1"/>
  <c r="C74" i="3"/>
  <c r="D74" i="3" s="1"/>
  <c r="E74" i="3" s="1"/>
  <c r="B117" i="3" l="1"/>
  <c r="C75" i="3"/>
  <c r="D75" i="3" s="1"/>
  <c r="E75" i="3"/>
  <c r="B118" i="3" l="1"/>
  <c r="C76" i="3"/>
  <c r="D76" i="3" s="1"/>
  <c r="E76" i="3"/>
  <c r="B119" i="3" l="1"/>
  <c r="C77" i="3"/>
  <c r="D77" i="3" s="1"/>
  <c r="E77" i="3"/>
  <c r="B120" i="3" l="1"/>
  <c r="C78" i="3"/>
  <c r="D78" i="3" s="1"/>
  <c r="E78" i="3"/>
  <c r="B121" i="3" l="1"/>
  <c r="C79" i="3"/>
  <c r="D79" i="3" s="1"/>
  <c r="E79" i="3" s="1"/>
  <c r="B122" i="3" l="1"/>
  <c r="C80" i="3"/>
  <c r="D80" i="3" s="1"/>
  <c r="E80" i="3"/>
  <c r="B123" i="3" l="1"/>
  <c r="C81" i="3"/>
  <c r="D81" i="3" s="1"/>
  <c r="E81" i="3"/>
  <c r="B124" i="3" l="1"/>
  <c r="C82" i="3"/>
  <c r="D82" i="3" s="1"/>
  <c r="E82" i="3"/>
  <c r="B125" i="3" l="1"/>
  <c r="C83" i="3"/>
  <c r="D83" i="3" s="1"/>
  <c r="E83" i="3" s="1"/>
  <c r="B126" i="3" l="1"/>
  <c r="C84" i="3"/>
  <c r="D84" i="3" s="1"/>
  <c r="E84" i="3" s="1"/>
  <c r="B127" i="3" l="1"/>
  <c r="C85" i="3"/>
  <c r="D85" i="3" s="1"/>
  <c r="E85" i="3" s="1"/>
  <c r="B128" i="3" l="1"/>
  <c r="C86" i="3"/>
  <c r="D86" i="3" s="1"/>
  <c r="E86" i="3" s="1"/>
  <c r="C87" i="3" l="1"/>
  <c r="D87" i="3" s="1"/>
  <c r="E87" i="3" s="1"/>
  <c r="C88" i="3" l="1"/>
  <c r="D88" i="3" s="1"/>
  <c r="E88" i="3" s="1"/>
  <c r="C89" i="3" l="1"/>
  <c r="D89" i="3" s="1"/>
  <c r="E89" i="3" s="1"/>
  <c r="C90" i="3" l="1"/>
  <c r="D90" i="3" s="1"/>
  <c r="E90" i="3"/>
  <c r="C91" i="3" l="1"/>
  <c r="D91" i="3" s="1"/>
  <c r="E91" i="3" s="1"/>
  <c r="C92" i="3" l="1"/>
  <c r="D92" i="3" s="1"/>
  <c r="E92" i="3"/>
  <c r="C93" i="3" l="1"/>
  <c r="D93" i="3" s="1"/>
  <c r="E93" i="3" s="1"/>
  <c r="C94" i="3" l="1"/>
  <c r="D94" i="3" s="1"/>
  <c r="E94" i="3" s="1"/>
  <c r="C95" i="3" l="1"/>
  <c r="D95" i="3" s="1"/>
  <c r="E95" i="3" s="1"/>
  <c r="C96" i="3" l="1"/>
  <c r="D96" i="3" s="1"/>
  <c r="E96" i="3" s="1"/>
  <c r="C97" i="3" l="1"/>
  <c r="D97" i="3" s="1"/>
  <c r="E97" i="3" s="1"/>
  <c r="C98" i="3" l="1"/>
  <c r="D98" i="3" s="1"/>
  <c r="E98" i="3"/>
  <c r="C99" i="3" l="1"/>
  <c r="D99" i="3" s="1"/>
  <c r="E99" i="3" s="1"/>
  <c r="C100" i="3" l="1"/>
  <c r="D100" i="3" s="1"/>
  <c r="E100" i="3"/>
  <c r="C101" i="3" l="1"/>
  <c r="D101" i="3" s="1"/>
  <c r="E101" i="3" s="1"/>
  <c r="C102" i="3" l="1"/>
  <c r="D102" i="3" s="1"/>
  <c r="E102" i="3"/>
  <c r="C103" i="3" l="1"/>
  <c r="D103" i="3" s="1"/>
  <c r="E103" i="3" s="1"/>
  <c r="C104" i="3" l="1"/>
  <c r="D104" i="3" s="1"/>
  <c r="E104" i="3"/>
  <c r="C105" i="3" l="1"/>
  <c r="D105" i="3" s="1"/>
  <c r="E105" i="3" s="1"/>
  <c r="C106" i="3" l="1"/>
  <c r="D106" i="3" s="1"/>
  <c r="E106" i="3" s="1"/>
  <c r="C107" i="3" l="1"/>
  <c r="D107" i="3" s="1"/>
  <c r="E107" i="3" s="1"/>
  <c r="C108" i="3" l="1"/>
  <c r="D108" i="3" s="1"/>
  <c r="E108" i="3" s="1"/>
  <c r="C109" i="3" l="1"/>
  <c r="D109" i="3" s="1"/>
  <c r="E109" i="3"/>
  <c r="C110" i="3" l="1"/>
  <c r="D110" i="3" s="1"/>
  <c r="E110" i="3"/>
  <c r="C111" i="3" l="1"/>
  <c r="D111" i="3" s="1"/>
  <c r="E111" i="3" s="1"/>
  <c r="C112" i="3" l="1"/>
  <c r="D112" i="3" s="1"/>
  <c r="E112" i="3" s="1"/>
  <c r="C113" i="3" l="1"/>
  <c r="D113" i="3" s="1"/>
  <c r="E113" i="3" s="1"/>
  <c r="C114" i="3" l="1"/>
  <c r="D114" i="3" s="1"/>
  <c r="E114" i="3"/>
  <c r="C115" i="3" l="1"/>
  <c r="D115" i="3" s="1"/>
  <c r="E115" i="3"/>
  <c r="C116" i="3" l="1"/>
  <c r="D116" i="3" s="1"/>
  <c r="E116" i="3"/>
  <c r="C117" i="3" l="1"/>
  <c r="D117" i="3" s="1"/>
  <c r="E117" i="3" s="1"/>
  <c r="C118" i="3" l="1"/>
  <c r="D118" i="3" s="1"/>
  <c r="E118" i="3" s="1"/>
  <c r="C119" i="3" l="1"/>
  <c r="D119" i="3" s="1"/>
  <c r="E119" i="3"/>
  <c r="C120" i="3" l="1"/>
  <c r="D120" i="3" s="1"/>
  <c r="E120" i="3" s="1"/>
  <c r="C121" i="3" l="1"/>
  <c r="D121" i="3" s="1"/>
  <c r="E121" i="3" s="1"/>
  <c r="C122" i="3" l="1"/>
  <c r="D122" i="3" s="1"/>
  <c r="E122" i="3" s="1"/>
  <c r="C123" i="3" l="1"/>
  <c r="D123" i="3" s="1"/>
  <c r="E123" i="3" s="1"/>
  <c r="C124" i="3" l="1"/>
  <c r="D124" i="3" s="1"/>
  <c r="E124" i="3" s="1"/>
  <c r="C125" i="3" l="1"/>
  <c r="D125" i="3" s="1"/>
  <c r="E125" i="3"/>
  <c r="C126" i="3" l="1"/>
  <c r="D126" i="3" s="1"/>
  <c r="E126" i="3"/>
  <c r="C127" i="3" l="1"/>
  <c r="D127" i="3" s="1"/>
  <c r="E127" i="3" s="1"/>
  <c r="C128" i="3" l="1"/>
  <c r="D128" i="3" s="1"/>
  <c r="E128" i="3" s="1"/>
</calcChain>
</file>

<file path=xl/sharedStrings.xml><?xml version="1.0" encoding="utf-8"?>
<sst xmlns="http://schemas.openxmlformats.org/spreadsheetml/2006/main" count="476" uniqueCount="234">
  <si>
    <t>PREVISIÓN DE VENTAS DEL PRIMER AÑO</t>
  </si>
  <si>
    <t>Precio de venta x unidades vendidas (€)</t>
  </si>
  <si>
    <t>Estimación de ventas (Media mensual)</t>
  </si>
  <si>
    <t>Estimación de ventas (Media anual)</t>
  </si>
  <si>
    <r>
      <rPr>
        <b/>
        <i/>
        <sz val="10"/>
        <color rgb="FF000000"/>
        <rFont val="Arial"/>
      </rPr>
      <t>Precio/ud</t>
    </r>
    <r>
      <rPr>
        <b/>
        <i/>
        <sz val="10"/>
        <color rgb="FF000000"/>
        <rFont val="Arial"/>
      </rPr>
      <t xml:space="preserve"> (en función</t>
    </r>
  </si>
  <si>
    <t>MES</t>
  </si>
  <si>
    <t>Móviles</t>
  </si>
  <si>
    <t>Auriculares</t>
  </si>
  <si>
    <t>Ordenadores</t>
  </si>
  <si>
    <t>Altavoces</t>
  </si>
  <si>
    <t>Tabletas</t>
  </si>
  <si>
    <t>Relojes</t>
  </si>
  <si>
    <t>PRODUCTO</t>
  </si>
  <si>
    <t>AÑO 1</t>
  </si>
  <si>
    <t>AÑO 2</t>
  </si>
  <si>
    <t>AÑO 3</t>
  </si>
  <si>
    <t>de su precio de fábrica)</t>
  </si>
  <si>
    <t>40%-60%</t>
  </si>
  <si>
    <t>TOTAL:</t>
  </si>
  <si>
    <t>Costes de compra x unidades vendidas (€)</t>
  </si>
  <si>
    <t>Coste de reparación x unidades vendidas (€)</t>
  </si>
  <si>
    <t>Media:</t>
  </si>
  <si>
    <t>Total</t>
  </si>
  <si>
    <t>AÑO 0</t>
  </si>
  <si>
    <t xml:space="preserve">GASTO TALLERES  </t>
  </si>
  <si>
    <t xml:space="preserve">GASTO ALQUILER </t>
  </si>
  <si>
    <t>GASTO SUELDOS</t>
  </si>
  <si>
    <t>Ganancias x unidades vendidas (€)</t>
  </si>
  <si>
    <t>(por producto, de media)</t>
  </si>
  <si>
    <t>DEVOLUCIÓN PRESTAMO</t>
  </si>
  <si>
    <t>Ganancias (€)</t>
  </si>
  <si>
    <t>Coste (€)</t>
  </si>
  <si>
    <t>Coste reparación (€)</t>
  </si>
  <si>
    <t>Precio de venta (€)</t>
  </si>
  <si>
    <t>GASTO MAQUINARIA</t>
  </si>
  <si>
    <t xml:space="preserve">GASTO MOBILIARIO </t>
  </si>
  <si>
    <t>GASTOS DE COMPRA</t>
  </si>
  <si>
    <t>GASTOS INTERES</t>
  </si>
  <si>
    <t>GASTO DE REPARACIÓN</t>
  </si>
  <si>
    <t>GASTO MANTENIMIENTO</t>
  </si>
  <si>
    <t>- Luz, agua y gas</t>
  </si>
  <si>
    <t>GASTO DE AMORTIZACIÓN</t>
  </si>
  <si>
    <t>MANTENIMIENTO PAGINA WEB</t>
  </si>
  <si>
    <t>SIN LOS 800000€ DE BASE</t>
  </si>
  <si>
    <t>COMPRA PÁGINA WEB</t>
  </si>
  <si>
    <t>TOTAL</t>
  </si>
  <si>
    <t>Ingresos</t>
  </si>
  <si>
    <t>Gastos totales (€)</t>
  </si>
  <si>
    <t>TALLERES (compra)</t>
  </si>
  <si>
    <t>LOCALES (alquiler total/mes)</t>
  </si>
  <si>
    <t>Profit (€)</t>
  </si>
  <si>
    <t>Madrid (1)</t>
  </si>
  <si>
    <t>Barcelona (1)</t>
  </si>
  <si>
    <t>Madrid (3)</t>
  </si>
  <si>
    <t>Barcelona (3)</t>
  </si>
  <si>
    <t>Profit a los 3 años (€)</t>
  </si>
  <si>
    <t>TOTAL :</t>
  </si>
  <si>
    <t>TOTAL mensual :</t>
  </si>
  <si>
    <t>TOTAL anual :</t>
  </si>
  <si>
    <t xml:space="preserve">Precio de venta x unidades vendidas (€) / MES (AÑO1)        </t>
  </si>
  <si>
    <t>1 estab/ mes</t>
  </si>
  <si>
    <t>/ mes</t>
  </si>
  <si>
    <t>/ año</t>
  </si>
  <si>
    <t>GASTO MANTENIMIENTO (Total)</t>
  </si>
  <si>
    <t xml:space="preserve">Coste de reparación/MES          </t>
  </si>
  <si>
    <t>Luz, agua, gas /establecimiento  (€)</t>
  </si>
  <si>
    <t>GASTO DE AMORTIZACIÓN sobre Inm. material</t>
  </si>
  <si>
    <t xml:space="preserve">Coste de compra/MES         </t>
  </si>
  <si>
    <t>Salario/mes año 2 (€)</t>
  </si>
  <si>
    <t>nº de empleados</t>
  </si>
  <si>
    <t>Gasto/mes (€)</t>
  </si>
  <si>
    <t>Gasto/año año 1 (€)</t>
  </si>
  <si>
    <t>Gasto/año año 2 (€)</t>
  </si>
  <si>
    <t>Gasto/año año 3 (€)</t>
  </si>
  <si>
    <t>Repartidor</t>
  </si>
  <si>
    <t>Gestor de stock</t>
  </si>
  <si>
    <t>Desarrollador y reparador web</t>
  </si>
  <si>
    <t xml:space="preserve">Ganancias/MES   </t>
  </si>
  <si>
    <t>Encargado de Marketing online</t>
  </si>
  <si>
    <t>Encargado de atención al cliente</t>
  </si>
  <si>
    <t>Empleados en tienda y taller</t>
  </si>
  <si>
    <t>Jefes</t>
  </si>
  <si>
    <t>TOTALES</t>
  </si>
  <si>
    <t>sakjf año 1</t>
  </si>
  <si>
    <t>MESES (AÑO 1)</t>
  </si>
  <si>
    <t>FLUJO DE CAJA</t>
  </si>
  <si>
    <t>APERTURA</t>
  </si>
  <si>
    <t>INGRESOS (€)</t>
  </si>
  <si>
    <t>VENTAS  (€)</t>
  </si>
  <si>
    <t>APORTE  (€)</t>
  </si>
  <si>
    <t>PRESTAMOS  (€)</t>
  </si>
  <si>
    <t>TOTAL INGRESO</t>
  </si>
  <si>
    <t>GASTOS (€)</t>
  </si>
  <si>
    <t>TALLERES  (€)</t>
  </si>
  <si>
    <t>ALQUILER (€)</t>
  </si>
  <si>
    <t>SUELDOS (€)</t>
  </si>
  <si>
    <t>MAQUINARIA (€)</t>
  </si>
  <si>
    <t>MOBILIARIO (€)</t>
  </si>
  <si>
    <t>MANTENIMIENTO  (€)</t>
  </si>
  <si>
    <t>REACONDICIONAMIENTO (€)</t>
  </si>
  <si>
    <t>INTERESES  (€)</t>
  </si>
  <si>
    <t>DEVOLUCION DEL PRESTAMO (€)</t>
  </si>
  <si>
    <t>DE COMPRA (€)</t>
  </si>
  <si>
    <t>IMPUESTO DE SOCIEDADES</t>
  </si>
  <si>
    <t>MANTENIMIENTO PÁGINA WEB</t>
  </si>
  <si>
    <t>TOTAL EGRESO</t>
  </si>
  <si>
    <t>TOTAL MES (AÑO 1)</t>
  </si>
  <si>
    <t>TOTAL ANUAL</t>
  </si>
  <si>
    <t>TESORERÍA</t>
  </si>
  <si>
    <t xml:space="preserve">Los gastos totales de forma anual se caracterizan por ser </t>
  </si>
  <si>
    <t>CAPITAL</t>
  </si>
  <si>
    <t xml:space="preserve">Plan de amortización </t>
  </si>
  <si>
    <t>Conversor de TAE a TIN</t>
  </si>
  <si>
    <t>AÑOS</t>
  </si>
  <si>
    <t>Método Francés</t>
  </si>
  <si>
    <t>TAE</t>
  </si>
  <si>
    <t>PAGOS ANUALES</t>
  </si>
  <si>
    <t>CUOTA DEL PERIODO</t>
  </si>
  <si>
    <t>Periodos al año</t>
  </si>
  <si>
    <t>TIPO DE INTERÉS NOMINAL</t>
  </si>
  <si>
    <t>Interés nominal</t>
  </si>
  <si>
    <t>Mes</t>
  </si>
  <si>
    <t>Cuota</t>
  </si>
  <si>
    <t>Interés</t>
  </si>
  <si>
    <t>Capital amortizado</t>
  </si>
  <si>
    <t>Capital pendiente</t>
  </si>
  <si>
    <t>deuda en balance de apertura</t>
  </si>
  <si>
    <t>corto plazo</t>
  </si>
  <si>
    <t>largo plazo</t>
  </si>
  <si>
    <t>gastos de interes del año 1 :</t>
  </si>
  <si>
    <t>gastos de devolución del año 1 :</t>
  </si>
  <si>
    <t>gasto financiero año 1</t>
  </si>
  <si>
    <t xml:space="preserve">intereses </t>
  </si>
  <si>
    <t>balance de final de año 1</t>
  </si>
  <si>
    <t>gastos de devolución del año 2 :</t>
  </si>
  <si>
    <t>gastos financieros de año 2</t>
  </si>
  <si>
    <t>intereses</t>
  </si>
  <si>
    <t>balance de final de año 2</t>
  </si>
  <si>
    <t>gastos de devolución del año 3 :</t>
  </si>
  <si>
    <t>gastos financieros de año 3</t>
  </si>
  <si>
    <t>CUENTA DE RESULTADOS AÑO1</t>
  </si>
  <si>
    <t>CUENTA DE RESULTADOS AÑO2</t>
  </si>
  <si>
    <t>Ingresos de explotación</t>
  </si>
  <si>
    <t xml:space="preserve">Venta de mercaderias </t>
  </si>
  <si>
    <t>Gastos de explotación</t>
  </si>
  <si>
    <t>Compra de mercaderia</t>
  </si>
  <si>
    <t>Alquiler de tiendas</t>
  </si>
  <si>
    <t xml:space="preserve">Costes de reparacion </t>
  </si>
  <si>
    <t>Sueldos y salarios</t>
  </si>
  <si>
    <t>Suministro de luz,agua y gas</t>
  </si>
  <si>
    <t>Amortización Inm. material</t>
  </si>
  <si>
    <t>Página web</t>
  </si>
  <si>
    <t>Pagina web</t>
  </si>
  <si>
    <t>Resultados de explotacion</t>
  </si>
  <si>
    <t>Ingesos financieros</t>
  </si>
  <si>
    <t xml:space="preserve">Gastos financieros </t>
  </si>
  <si>
    <t>Intereses de préstamo</t>
  </si>
  <si>
    <t>Resusltado financiero</t>
  </si>
  <si>
    <t>Resultado antes de impuestos</t>
  </si>
  <si>
    <t>Impuestos sobre beneficios (25%)</t>
  </si>
  <si>
    <t>Resultado del ejercicio</t>
  </si>
  <si>
    <t>CUENTA DE RESULTADOS AÑO3</t>
  </si>
  <si>
    <t xml:space="preserve"> </t>
  </si>
  <si>
    <t>SIMPLIFICACIÓN VISUAL PARA LOS 3 AÑOS</t>
  </si>
  <si>
    <t>Impuestos sobre beneficios, 25%</t>
  </si>
  <si>
    <t>BALANCE DE APERTURA</t>
  </si>
  <si>
    <t>BALANCE AÑO 1</t>
  </si>
  <si>
    <t>Activo</t>
  </si>
  <si>
    <t>Patrimonio neto y pasivo</t>
  </si>
  <si>
    <t>No corriente</t>
  </si>
  <si>
    <t xml:space="preserve">Patrimonio neto </t>
  </si>
  <si>
    <t>Capital Social</t>
  </si>
  <si>
    <t>RESUMEN DE LOS 3 AÑOS</t>
  </si>
  <si>
    <t>Talleres</t>
  </si>
  <si>
    <t>Res. ejs. anteriores</t>
  </si>
  <si>
    <t>Maquinaria</t>
  </si>
  <si>
    <t>Pérdidas y ganancias</t>
  </si>
  <si>
    <t>Mobiliario</t>
  </si>
  <si>
    <t>Pasivo</t>
  </si>
  <si>
    <t>Amortización acum.</t>
  </si>
  <si>
    <t>Largo Plazo</t>
  </si>
  <si>
    <t>Corriente</t>
  </si>
  <si>
    <t>Existente</t>
  </si>
  <si>
    <t>Corto Plazo</t>
  </si>
  <si>
    <t>Realizable</t>
  </si>
  <si>
    <t>Disponible</t>
  </si>
  <si>
    <t xml:space="preserve">TOTAL </t>
  </si>
  <si>
    <t>BALANCE AÑO 2</t>
  </si>
  <si>
    <t>BALANCE AÑO 3</t>
  </si>
  <si>
    <t>.</t>
  </si>
  <si>
    <t>A</t>
  </si>
  <si>
    <t>Desembolso inicial</t>
  </si>
  <si>
    <t>Q1(cash flow 1)</t>
  </si>
  <si>
    <t>Flujo AÑO 1</t>
  </si>
  <si>
    <t>Q2(cash flow 2)</t>
  </si>
  <si>
    <t>Flujo AÑO 2</t>
  </si>
  <si>
    <t>Q3(cash flow 3)</t>
  </si>
  <si>
    <t>Flujo AÑO 3</t>
  </si>
  <si>
    <t>k</t>
  </si>
  <si>
    <t>Coste del dinero</t>
  </si>
  <si>
    <t>TIR</t>
  </si>
  <si>
    <t>VAN</t>
  </si>
  <si>
    <t>Calculamos el valor actual neto y la tasa interna de rentabilidad de la inversión del dinero, teniendo en cuenta el desembolso inicial calculado en la primera pagina de la excell, hallando la resta del prestamo y el capital social invertido por los socios y los los gastos de apertura.
Visualizando estas cuentas podemos afirmar que el proyecto empresarial es beneficioso ya que el VAN&gt;0 y la TIR&gt;k
***k calculadlo según el WACC y tomando el costo sobre los intereses como 0.</t>
  </si>
  <si>
    <t>Importe</t>
  </si>
  <si>
    <t>% Amortización anual</t>
  </si>
  <si>
    <t>Amortización año 1</t>
  </si>
  <si>
    <t>Amortización año 2</t>
  </si>
  <si>
    <t>Amortización año 3</t>
  </si>
  <si>
    <t>TOTAL AÑO 1</t>
  </si>
  <si>
    <t>TOTAL AÑO 2</t>
  </si>
  <si>
    <t>TOTAL AÑO 3</t>
  </si>
  <si>
    <t>AMORTIZACION TOTAL :</t>
  </si>
  <si>
    <t>Consideramos que el taller dura 50 años, la maquinaria 10 y el mobiliario 20</t>
  </si>
  <si>
    <t xml:space="preserve">RATIOS FINANCIEROS </t>
  </si>
  <si>
    <t>Inicio</t>
  </si>
  <si>
    <t>Año 1</t>
  </si>
  <si>
    <t>Año 2</t>
  </si>
  <si>
    <t>Año 3</t>
  </si>
  <si>
    <t>Apalancamiento Financiero</t>
  </si>
  <si>
    <t>Endeudamiento</t>
  </si>
  <si>
    <t>Solvencia</t>
  </si>
  <si>
    <t>∞</t>
  </si>
  <si>
    <t>Liquidez</t>
  </si>
  <si>
    <t>Tesorería</t>
  </si>
  <si>
    <t>Disponibilidad</t>
  </si>
  <si>
    <t>Fondo de maniobra</t>
  </si>
  <si>
    <t>Rentabilidad financiera (ROE)</t>
  </si>
  <si>
    <t>Rentabilidad financiera (BN/PN)</t>
  </si>
  <si>
    <t xml:space="preserve">RATIOS ECONOMICOS </t>
  </si>
  <si>
    <t>EBITDA</t>
  </si>
  <si>
    <t>Beneficio neto (BAIT)</t>
  </si>
  <si>
    <t>Rentabilidad económica (ROI)</t>
  </si>
  <si>
    <t>Rentabilidad de ventas</t>
  </si>
  <si>
    <t>Rotación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</si>
</sst>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##\ ###\ ##0"/>
    <numFmt numFmtId="165" formatCode="#,##0\ [$€-1]"/>
    <numFmt numFmtId="166" formatCode="###\ ###\ ###\ ##0.00"/>
    <numFmt numFmtId="167" formatCode="###\ ###\ ##0.00"/>
    <numFmt numFmtId="168" formatCode="d\-m"/>
    <numFmt numFmtId="169" formatCode="###\ ###\ ###\ ##0"/>
    <numFmt numFmtId="170" formatCode="#,##0.00_ ;[Red]\-#,##0.00\ "/>
    <numFmt numFmtId="171" formatCode="0.000%"/>
    <numFmt numFmtId="172" formatCode="#,##0.00;\(#,##0.00\)"/>
    <numFmt numFmtId="173" formatCode="#,##0.00\ [$€-1]"/>
    <numFmt numFmtId="174" formatCode="###\ ###\ ###\ ##0.000000000"/>
  </numFmts>
  <fonts count="31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i/>
      <sz val="10"/>
      <color rgb="FF000000"/>
      <name val="Arial"/>
    </font>
    <font>
      <sz val="10"/>
      <name val="Arial"/>
    </font>
    <font>
      <b/>
      <sz val="10"/>
      <color rgb="FFFFFFFF"/>
      <name val="Arial"/>
    </font>
    <font>
      <b/>
      <i/>
      <sz val="11"/>
      <color rgb="FF000000"/>
      <name val="Arial"/>
    </font>
    <font>
      <b/>
      <i/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i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i/>
      <sz val="10"/>
      <name val="Arial"/>
    </font>
    <font>
      <b/>
      <sz val="11"/>
      <color rgb="FFFFFFFF"/>
      <name val="Arial"/>
    </font>
    <font>
      <sz val="10"/>
      <color theme="1"/>
      <name val="Calibri"/>
    </font>
    <font>
      <b/>
      <sz val="10"/>
      <color rgb="FFC00000"/>
      <name val="Calibri"/>
    </font>
    <font>
      <sz val="12"/>
      <color theme="1"/>
      <name val="Arial"/>
    </font>
    <font>
      <b/>
      <sz val="12"/>
      <color rgb="FF7F7F7F"/>
      <name val="Calibri"/>
    </font>
    <font>
      <sz val="10"/>
      <color rgb="FF7F7F7F"/>
      <name val="Calibri"/>
    </font>
    <font>
      <sz val="11"/>
      <color rgb="FF7F7F7F"/>
      <name val="Calibri"/>
    </font>
    <font>
      <b/>
      <sz val="10"/>
      <color theme="1"/>
      <name val="Calibri"/>
    </font>
    <font>
      <sz val="8"/>
      <color theme="1"/>
      <name val="Calibri"/>
    </font>
    <font>
      <b/>
      <sz val="11"/>
      <color rgb="FFC00000"/>
      <name val="Calibri"/>
    </font>
    <font>
      <b/>
      <sz val="10"/>
      <color rgb="FF7F7F7F"/>
      <name val="Calibri"/>
    </font>
    <font>
      <sz val="12"/>
      <color rgb="FFFF0000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AC6C8C"/>
        <bgColor rgb="FFAC6C8C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EE6EDC"/>
        <bgColor rgb="FFEE6EDC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</fills>
  <borders count="34">
    <border>
      <left/>
      <right/>
      <top/>
      <bottom/>
      <diagonal/>
    </border>
    <border>
      <left style="thin">
        <color rgb="FF85200C"/>
      </left>
      <right/>
      <top style="thin">
        <color rgb="FF85200C"/>
      </top>
      <bottom/>
      <diagonal/>
    </border>
    <border>
      <left/>
      <right/>
      <top style="thin">
        <color rgb="FF85200C"/>
      </top>
      <bottom/>
      <diagonal/>
    </border>
    <border>
      <left/>
      <right style="thin">
        <color rgb="FF85200C"/>
      </right>
      <top style="thin">
        <color rgb="FF85200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2" borderId="4" xfId="0" applyFont="1" applyFill="1" applyBorder="1"/>
    <xf numFmtId="0" fontId="3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7" borderId="9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17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164" fontId="1" fillId="8" borderId="7" xfId="0" applyNumberFormat="1" applyFont="1" applyFill="1" applyBorder="1" applyAlignment="1">
      <alignment horizontal="center"/>
    </xf>
    <xf numFmtId="164" fontId="1" fillId="9" borderId="4" xfId="0" applyNumberFormat="1" applyFont="1" applyFill="1" applyBorder="1" applyAlignment="1">
      <alignment horizontal="center"/>
    </xf>
    <xf numFmtId="164" fontId="1" fillId="0" borderId="0" xfId="0" applyNumberFormat="1" applyFont="1"/>
    <xf numFmtId="164" fontId="1" fillId="9" borderId="8" xfId="0" applyNumberFormat="1" applyFont="1" applyFill="1" applyBorder="1" applyAlignment="1">
      <alignment horizontal="center"/>
    </xf>
    <xf numFmtId="0" fontId="1" fillId="10" borderId="0" xfId="0" applyFont="1" applyFill="1"/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" fillId="0" borderId="24" xfId="0" applyFont="1" applyBorder="1"/>
    <xf numFmtId="0" fontId="1" fillId="0" borderId="25" xfId="0" applyFont="1" applyBorder="1"/>
    <xf numFmtId="0" fontId="2" fillId="5" borderId="4" xfId="0" applyFont="1" applyFill="1" applyBorder="1" applyAlignment="1">
      <alignment horizontal="right"/>
    </xf>
    <xf numFmtId="0" fontId="2" fillId="5" borderId="11" xfId="0" applyFont="1" applyFill="1" applyBorder="1"/>
    <xf numFmtId="0" fontId="2" fillId="5" borderId="12" xfId="0" applyFont="1" applyFill="1" applyBorder="1"/>
    <xf numFmtId="0" fontId="1" fillId="0" borderId="0" xfId="0" applyFont="1" applyAlignment="1">
      <alignment horizontal="right"/>
    </xf>
    <xf numFmtId="0" fontId="2" fillId="5" borderId="24" xfId="0" applyFont="1" applyFill="1" applyBorder="1"/>
    <xf numFmtId="0" fontId="2" fillId="5" borderId="25" xfId="0" applyFont="1" applyFill="1" applyBorder="1"/>
    <xf numFmtId="0" fontId="6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165" fontId="7" fillId="11" borderId="0" xfId="0" applyNumberFormat="1" applyFont="1" applyFill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0" fontId="2" fillId="11" borderId="0" xfId="0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4" fontId="1" fillId="14" borderId="24" xfId="0" applyNumberFormat="1" applyFont="1" applyFill="1" applyBorder="1" applyAlignment="1">
      <alignment horizontal="center"/>
    </xf>
    <xf numFmtId="164" fontId="1" fillId="9" borderId="26" xfId="0" applyNumberFormat="1" applyFont="1" applyFill="1" applyBorder="1" applyAlignment="1">
      <alignment horizontal="center"/>
    </xf>
    <xf numFmtId="164" fontId="1" fillId="15" borderId="8" xfId="0" applyNumberFormat="1" applyFont="1" applyFill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165" fontId="7" fillId="9" borderId="4" xfId="0" applyNumberFormat="1" applyFont="1" applyFill="1" applyBorder="1" applyAlignment="1">
      <alignment horizontal="center"/>
    </xf>
    <xf numFmtId="165" fontId="7" fillId="9" borderId="13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4" fontId="1" fillId="21" borderId="6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5" fontId="8" fillId="7" borderId="4" xfId="0" applyNumberFormat="1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167" fontId="1" fillId="8" borderId="4" xfId="0" applyNumberFormat="1" applyFont="1" applyFill="1" applyBorder="1" applyAlignment="1">
      <alignment horizontal="center"/>
    </xf>
    <xf numFmtId="167" fontId="1" fillId="0" borderId="4" xfId="0" applyNumberFormat="1" applyFont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167" fontId="1" fillId="25" borderId="13" xfId="0" applyNumberFormat="1" applyFont="1" applyFill="1" applyBorder="1" applyAlignment="1">
      <alignment horizontal="center"/>
    </xf>
    <xf numFmtId="167" fontId="1" fillId="0" borderId="13" xfId="0" applyNumberFormat="1" applyFont="1" applyBorder="1" applyAlignment="1">
      <alignment horizontal="center"/>
    </xf>
    <xf numFmtId="0" fontId="1" fillId="0" borderId="20" xfId="0" applyFont="1" applyBorder="1"/>
    <xf numFmtId="167" fontId="3" fillId="0" borderId="27" xfId="0" applyNumberFormat="1" applyFont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/>
    </xf>
    <xf numFmtId="168" fontId="1" fillId="0" borderId="0" xfId="0" applyNumberFormat="1" applyFont="1"/>
    <xf numFmtId="165" fontId="11" fillId="0" borderId="4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64" fontId="1" fillId="8" borderId="4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13" fillId="3" borderId="4" xfId="0" applyNumberFormat="1" applyFont="1" applyFill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1" fillId="20" borderId="4" xfId="0" applyFont="1" applyFill="1" applyBorder="1" applyAlignment="1">
      <alignment horizontal="center"/>
    </xf>
    <xf numFmtId="164" fontId="1" fillId="7" borderId="4" xfId="0" applyNumberFormat="1" applyFont="1" applyFill="1" applyBorder="1" applyAlignment="1">
      <alignment horizontal="center"/>
    </xf>
    <xf numFmtId="166" fontId="1" fillId="22" borderId="4" xfId="0" applyNumberFormat="1" applyFont="1" applyFill="1" applyBorder="1" applyAlignment="1">
      <alignment horizontal="center"/>
    </xf>
    <xf numFmtId="164" fontId="1" fillId="15" borderId="4" xfId="0" applyNumberFormat="1" applyFont="1" applyFill="1" applyBorder="1" applyAlignment="1">
      <alignment horizontal="center"/>
    </xf>
    <xf numFmtId="4" fontId="8" fillId="4" borderId="7" xfId="0" applyNumberFormat="1" applyFont="1" applyFill="1" applyBorder="1" applyAlignment="1">
      <alignment horizontal="left" wrapText="1"/>
    </xf>
    <xf numFmtId="4" fontId="8" fillId="4" borderId="4" xfId="0" applyNumberFormat="1" applyFont="1" applyFill="1" applyBorder="1" applyAlignment="1">
      <alignment horizontal="left" wrapText="1"/>
    </xf>
    <xf numFmtId="0" fontId="0" fillId="13" borderId="22" xfId="0" applyFill="1" applyBorder="1" applyAlignment="1">
      <alignment horizontal="center" wrapText="1"/>
    </xf>
    <xf numFmtId="164" fontId="0" fillId="0" borderId="4" xfId="0" applyNumberFormat="1" applyBorder="1" applyAlignment="1">
      <alignment horizontal="center" wrapText="1"/>
    </xf>
    <xf numFmtId="164" fontId="1" fillId="0" borderId="4" xfId="0" applyNumberFormat="1" applyFont="1" applyBorder="1"/>
    <xf numFmtId="164" fontId="1" fillId="14" borderId="4" xfId="0" applyNumberFormat="1" applyFont="1" applyFill="1" applyBorder="1" applyAlignment="1">
      <alignment horizontal="center"/>
    </xf>
    <xf numFmtId="0" fontId="0" fillId="13" borderId="4" xfId="0" applyFill="1" applyBorder="1" applyAlignment="1">
      <alignment horizontal="center" wrapText="1"/>
    </xf>
    <xf numFmtId="165" fontId="1" fillId="21" borderId="4" xfId="0" applyNumberFormat="1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169" fontId="0" fillId="17" borderId="5" xfId="0" applyNumberFormat="1" applyFill="1" applyBorder="1" applyAlignment="1">
      <alignment horizontal="center" wrapText="1"/>
    </xf>
    <xf numFmtId="0" fontId="5" fillId="6" borderId="0" xfId="0" applyFont="1" applyFill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4" fontId="1" fillId="6" borderId="24" xfId="0" applyNumberFormat="1" applyFont="1" applyFill="1" applyBorder="1" applyAlignment="1">
      <alignment horizontal="center"/>
    </xf>
    <xf numFmtId="4" fontId="1" fillId="6" borderId="25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166" fontId="1" fillId="17" borderId="7" xfId="0" applyNumberFormat="1" applyFont="1" applyFill="1" applyBorder="1" applyAlignment="1">
      <alignment horizontal="center"/>
    </xf>
    <xf numFmtId="166" fontId="1" fillId="17" borderId="4" xfId="0" applyNumberFormat="1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166" fontId="1" fillId="6" borderId="25" xfId="0" applyNumberFormat="1" applyFon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13" borderId="4" xfId="0" applyNumberFormat="1" applyFill="1" applyBorder="1" applyAlignment="1">
      <alignment horizontal="center"/>
    </xf>
    <xf numFmtId="166" fontId="9" fillId="13" borderId="4" xfId="0" applyNumberFormat="1" applyFont="1" applyFill="1" applyBorder="1" applyAlignment="1">
      <alignment horizontal="center"/>
    </xf>
    <xf numFmtId="166" fontId="0" fillId="10" borderId="4" xfId="0" applyNumberFormat="1" applyFill="1" applyBorder="1" applyAlignment="1">
      <alignment horizontal="center"/>
    </xf>
    <xf numFmtId="166" fontId="0" fillId="5" borderId="6" xfId="0" applyNumberFormat="1" applyFill="1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165" fontId="8" fillId="4" borderId="22" xfId="0" applyNumberFormat="1" applyFont="1" applyFill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166" fontId="1" fillId="13" borderId="4" xfId="0" applyNumberFormat="1" applyFont="1" applyFill="1" applyBorder="1" applyAlignment="1">
      <alignment horizontal="center"/>
    </xf>
    <xf numFmtId="166" fontId="2" fillId="9" borderId="4" xfId="0" applyNumberFormat="1" applyFont="1" applyFill="1" applyBorder="1" applyAlignment="1">
      <alignment horizontal="center"/>
    </xf>
    <xf numFmtId="4" fontId="1" fillId="0" borderId="0" xfId="0" applyNumberFormat="1" applyFont="1"/>
    <xf numFmtId="166" fontId="1" fillId="0" borderId="0" xfId="0" applyNumberFormat="1" applyFont="1"/>
    <xf numFmtId="0" fontId="15" fillId="26" borderId="4" xfId="0" applyFont="1" applyFill="1" applyBorder="1"/>
    <xf numFmtId="170" fontId="16" fillId="26" borderId="4" xfId="0" applyNumberFormat="1" applyFont="1" applyFill="1" applyBorder="1"/>
    <xf numFmtId="170" fontId="17" fillId="11" borderId="31" xfId="0" applyNumberFormat="1" applyFont="1" applyFill="1" applyBorder="1"/>
    <xf numFmtId="170" fontId="18" fillId="0" borderId="0" xfId="0" applyNumberFormat="1" applyFont="1"/>
    <xf numFmtId="0" fontId="17" fillId="0" borderId="0" xfId="0" applyFont="1"/>
    <xf numFmtId="0" fontId="16" fillId="26" borderId="4" xfId="0" applyFont="1" applyFill="1" applyBorder="1"/>
    <xf numFmtId="170" fontId="15" fillId="26" borderId="4" xfId="0" applyNumberFormat="1" applyFont="1" applyFill="1" applyBorder="1"/>
    <xf numFmtId="0" fontId="19" fillId="0" borderId="0" xfId="0" applyFont="1"/>
    <xf numFmtId="10" fontId="20" fillId="27" borderId="31" xfId="0" applyNumberFormat="1" applyFont="1" applyFill="1" applyBorder="1"/>
    <xf numFmtId="0" fontId="21" fillId="28" borderId="31" xfId="0" applyFont="1" applyFill="1" applyBorder="1"/>
    <xf numFmtId="170" fontId="19" fillId="27" borderId="31" xfId="0" applyNumberFormat="1" applyFont="1" applyFill="1" applyBorder="1"/>
    <xf numFmtId="0" fontId="22" fillId="26" borderId="4" xfId="0" applyFont="1" applyFill="1" applyBorder="1"/>
    <xf numFmtId="10" fontId="23" fillId="26" borderId="4" xfId="0" applyNumberFormat="1" applyFont="1" applyFill="1" applyBorder="1"/>
    <xf numFmtId="10" fontId="15" fillId="26" borderId="4" xfId="0" applyNumberFormat="1" applyFont="1" applyFill="1" applyBorder="1"/>
    <xf numFmtId="170" fontId="21" fillId="28" borderId="31" xfId="0" applyNumberFormat="1" applyFont="1" applyFill="1" applyBorder="1"/>
    <xf numFmtId="0" fontId="24" fillId="26" borderId="31" xfId="0" applyFont="1" applyFill="1" applyBorder="1"/>
    <xf numFmtId="171" fontId="24" fillId="26" borderId="31" xfId="0" applyNumberFormat="1" applyFont="1" applyFill="1" applyBorder="1"/>
    <xf numFmtId="170" fontId="17" fillId="0" borderId="0" xfId="0" applyNumberFormat="1" applyFont="1"/>
    <xf numFmtId="0" fontId="12" fillId="27" borderId="4" xfId="0" applyFont="1" applyFill="1" applyBorder="1" applyAlignment="1">
      <alignment horizontal="center"/>
    </xf>
    <xf numFmtId="170" fontId="12" fillId="27" borderId="4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70" fontId="25" fillId="0" borderId="0" xfId="0" applyNumberFormat="1" applyFont="1"/>
    <xf numFmtId="0" fontId="17" fillId="5" borderId="0" xfId="0" applyFont="1" applyFill="1"/>
    <xf numFmtId="170" fontId="17" fillId="5" borderId="0" xfId="0" applyNumberFormat="1" applyFont="1" applyFill="1"/>
    <xf numFmtId="0" fontId="26" fillId="0" borderId="14" xfId="0" applyFont="1" applyBorder="1"/>
    <xf numFmtId="0" fontId="17" fillId="0" borderId="11" xfId="0" applyFont="1" applyBorder="1"/>
    <xf numFmtId="0" fontId="17" fillId="0" borderId="12" xfId="0" applyFont="1" applyBorder="1"/>
    <xf numFmtId="0" fontId="17" fillId="0" borderId="20" xfId="0" applyFont="1" applyBorder="1"/>
    <xf numFmtId="170" fontId="17" fillId="0" borderId="18" xfId="0" applyNumberFormat="1" applyFont="1" applyBorder="1"/>
    <xf numFmtId="4" fontId="17" fillId="19" borderId="18" xfId="0" applyNumberFormat="1" applyFont="1" applyFill="1" applyBorder="1"/>
    <xf numFmtId="170" fontId="17" fillId="18" borderId="18" xfId="0" applyNumberFormat="1" applyFont="1" applyFill="1" applyBorder="1"/>
    <xf numFmtId="0" fontId="26" fillId="0" borderId="20" xfId="0" applyFont="1" applyBorder="1"/>
    <xf numFmtId="0" fontId="17" fillId="0" borderId="18" xfId="0" applyFont="1" applyBorder="1"/>
    <xf numFmtId="0" fontId="17" fillId="0" borderId="26" xfId="0" applyFont="1" applyBorder="1"/>
    <xf numFmtId="4" fontId="17" fillId="0" borderId="25" xfId="0" applyNumberFormat="1" applyFont="1" applyBorder="1"/>
    <xf numFmtId="0" fontId="17" fillId="13" borderId="0" xfId="0" applyFont="1" applyFill="1"/>
    <xf numFmtId="170" fontId="17" fillId="13" borderId="0" xfId="0" applyNumberFormat="1" applyFont="1" applyFill="1"/>
    <xf numFmtId="0" fontId="17" fillId="0" borderId="25" xfId="0" applyFont="1" applyBorder="1"/>
    <xf numFmtId="0" fontId="17" fillId="9" borderId="0" xfId="0" applyFont="1" applyFill="1"/>
    <xf numFmtId="170" fontId="17" fillId="9" borderId="0" xfId="0" applyNumberFormat="1" applyFont="1" applyFill="1"/>
    <xf numFmtId="0" fontId="1" fillId="4" borderId="0" xfId="0" applyFont="1" applyFill="1"/>
    <xf numFmtId="166" fontId="1" fillId="30" borderId="0" xfId="0" applyNumberFormat="1" applyFont="1" applyFill="1"/>
    <xf numFmtId="3" fontId="1" fillId="30" borderId="0" xfId="0" applyNumberFormat="1" applyFont="1" applyFill="1"/>
    <xf numFmtId="4" fontId="1" fillId="30" borderId="0" xfId="0" applyNumberFormat="1" applyFont="1" applyFill="1"/>
    <xf numFmtId="3" fontId="1" fillId="0" borderId="0" xfId="0" applyNumberFormat="1" applyFont="1"/>
    <xf numFmtId="2" fontId="1" fillId="0" borderId="0" xfId="0" applyNumberFormat="1" applyFont="1"/>
    <xf numFmtId="172" fontId="2" fillId="30" borderId="0" xfId="0" applyNumberFormat="1" applyFont="1" applyFill="1"/>
    <xf numFmtId="4" fontId="1" fillId="33" borderId="0" xfId="0" applyNumberFormat="1" applyFont="1" applyFill="1"/>
    <xf numFmtId="172" fontId="2" fillId="33" borderId="0" xfId="0" applyNumberFormat="1" applyFont="1" applyFill="1"/>
    <xf numFmtId="172" fontId="2" fillId="17" borderId="0" xfId="0" applyNumberFormat="1" applyFont="1" applyFill="1"/>
    <xf numFmtId="172" fontId="1" fillId="0" borderId="0" xfId="0" applyNumberFormat="1" applyFont="1"/>
    <xf numFmtId="0" fontId="1" fillId="29" borderId="0" xfId="0" applyFont="1" applyFill="1"/>
    <xf numFmtId="0" fontId="1" fillId="31" borderId="0" xfId="0" applyFont="1" applyFill="1"/>
    <xf numFmtId="4" fontId="4" fillId="33" borderId="0" xfId="0" applyNumberFormat="1" applyFont="1" applyFill="1"/>
    <xf numFmtId="0" fontId="1" fillId="32" borderId="0" xfId="0" applyFont="1" applyFill="1"/>
    <xf numFmtId="0" fontId="4" fillId="0" borderId="0" xfId="0" applyFont="1"/>
    <xf numFmtId="0" fontId="1" fillId="33" borderId="0" xfId="0" applyFont="1" applyFill="1"/>
    <xf numFmtId="0" fontId="1" fillId="22" borderId="0" xfId="0" applyFont="1" applyFill="1"/>
    <xf numFmtId="0" fontId="1" fillId="34" borderId="0" xfId="0" applyFont="1" applyFill="1"/>
    <xf numFmtId="0" fontId="12" fillId="0" borderId="0" xfId="0" applyFont="1" applyAlignment="1">
      <alignment horizontal="center"/>
    </xf>
    <xf numFmtId="0" fontId="2" fillId="22" borderId="0" xfId="0" applyFont="1" applyFill="1"/>
    <xf numFmtId="0" fontId="2" fillId="31" borderId="0" xfId="0" applyFont="1" applyFill="1"/>
    <xf numFmtId="0" fontId="2" fillId="29" borderId="0" xfId="0" applyFont="1" applyFill="1"/>
    <xf numFmtId="4" fontId="1" fillId="29" borderId="0" xfId="0" applyNumberFormat="1" applyFont="1" applyFill="1"/>
    <xf numFmtId="0" fontId="2" fillId="35" borderId="0" xfId="0" applyFont="1" applyFill="1" applyAlignment="1">
      <alignment horizontal="center"/>
    </xf>
    <xf numFmtId="0" fontId="1" fillId="30" borderId="0" xfId="0" applyFont="1" applyFill="1"/>
    <xf numFmtId="4" fontId="1" fillId="17" borderId="0" xfId="0" applyNumberFormat="1" applyFont="1" applyFill="1"/>
    <xf numFmtId="0" fontId="1" fillId="36" borderId="4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172" fontId="1" fillId="35" borderId="4" xfId="0" applyNumberFormat="1" applyFont="1" applyFill="1" applyBorder="1" applyAlignment="1">
      <alignment vertical="center"/>
    </xf>
    <xf numFmtId="166" fontId="1" fillId="35" borderId="4" xfId="0" applyNumberFormat="1" applyFont="1" applyFill="1" applyBorder="1" applyAlignment="1">
      <alignment horizontal="center" vertical="center"/>
    </xf>
    <xf numFmtId="10" fontId="1" fillId="35" borderId="4" xfId="0" applyNumberFormat="1" applyFont="1" applyFill="1" applyBorder="1" applyAlignment="1">
      <alignment horizontal="center" vertical="center"/>
    </xf>
    <xf numFmtId="0" fontId="1" fillId="37" borderId="4" xfId="0" applyFont="1" applyFill="1" applyBorder="1" applyAlignment="1">
      <alignment horizontal="center" vertical="center"/>
    </xf>
    <xf numFmtId="0" fontId="1" fillId="22" borderId="0" xfId="0" applyFont="1" applyFill="1" applyAlignment="1">
      <alignment vertical="center"/>
    </xf>
    <xf numFmtId="9" fontId="2" fillId="32" borderId="4" xfId="0" applyNumberFormat="1" applyFont="1" applyFill="1" applyBorder="1" applyAlignment="1">
      <alignment horizontal="center" vertical="center"/>
    </xf>
    <xf numFmtId="0" fontId="1" fillId="38" borderId="4" xfId="0" applyFont="1" applyFill="1" applyBorder="1" applyAlignment="1">
      <alignment horizontal="center" vertical="center"/>
    </xf>
    <xf numFmtId="0" fontId="1" fillId="31" borderId="0" xfId="0" applyFont="1" applyFill="1" applyAlignment="1">
      <alignment vertical="center"/>
    </xf>
    <xf numFmtId="173" fontId="2" fillId="29" borderId="4" xfId="0" applyNumberFormat="1" applyFont="1" applyFill="1" applyBorder="1" applyAlignment="1">
      <alignment horizontal="center" vertical="center"/>
    </xf>
    <xf numFmtId="17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2" fillId="36" borderId="4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/>
    </xf>
    <xf numFmtId="0" fontId="2" fillId="36" borderId="4" xfId="0" applyFont="1" applyFill="1" applyBorder="1"/>
    <xf numFmtId="166" fontId="1" fillId="19" borderId="4" xfId="0" applyNumberFormat="1" applyFont="1" applyFill="1" applyBorder="1"/>
    <xf numFmtId="10" fontId="1" fillId="19" borderId="4" xfId="0" applyNumberFormat="1" applyFont="1" applyFill="1" applyBorder="1"/>
    <xf numFmtId="0" fontId="1" fillId="32" borderId="4" xfId="0" applyFont="1" applyFill="1" applyBorder="1"/>
    <xf numFmtId="166" fontId="1" fillId="29" borderId="4" xfId="0" applyNumberFormat="1" applyFont="1" applyFill="1" applyBorder="1"/>
    <xf numFmtId="166" fontId="1" fillId="35" borderId="4" xfId="0" applyNumberFormat="1" applyFont="1" applyFill="1" applyBorder="1"/>
    <xf numFmtId="0" fontId="1" fillId="33" borderId="4" xfId="0" applyFont="1" applyFill="1" applyBorder="1"/>
    <xf numFmtId="0" fontId="1" fillId="30" borderId="4" xfId="0" applyFont="1" applyFill="1" applyBorder="1"/>
    <xf numFmtId="166" fontId="1" fillId="30" borderId="4" xfId="0" applyNumberFormat="1" applyFont="1" applyFill="1" applyBorder="1"/>
    <xf numFmtId="0" fontId="1" fillId="34" borderId="4" xfId="0" applyFont="1" applyFill="1" applyBorder="1"/>
    <xf numFmtId="166" fontId="1" fillId="17" borderId="4" xfId="0" applyNumberFormat="1" applyFont="1" applyFill="1" applyBorder="1"/>
    <xf numFmtId="10" fontId="1" fillId="0" borderId="0" xfId="0" applyNumberFormat="1" applyFont="1"/>
    <xf numFmtId="172" fontId="30" fillId="19" borderId="6" xfId="0" applyNumberFormat="1" applyFont="1" applyFill="1" applyBorder="1" applyAlignment="1">
      <alignment horizontal="center" vertical="center"/>
    </xf>
    <xf numFmtId="172" fontId="30" fillId="19" borderId="7" xfId="0" applyNumberFormat="1" applyFont="1" applyFill="1" applyBorder="1" applyAlignment="1">
      <alignment horizontal="center" vertical="center"/>
    </xf>
    <xf numFmtId="172" fontId="1" fillId="0" borderId="0" xfId="0" applyNumberFormat="1" applyFont="1" applyAlignment="1">
      <alignment horizontal="center" vertical="center"/>
    </xf>
    <xf numFmtId="172" fontId="1" fillId="0" borderId="18" xfId="0" applyNumberFormat="1" applyFont="1" applyBorder="1" applyAlignment="1">
      <alignment horizontal="center" vertical="center"/>
    </xf>
    <xf numFmtId="172" fontId="1" fillId="0" borderId="0" xfId="0" applyNumberFormat="1" applyFont="1" applyAlignment="1">
      <alignment horizontal="center"/>
    </xf>
    <xf numFmtId="172" fontId="1" fillId="0" borderId="24" xfId="0" applyNumberFormat="1" applyFont="1" applyBorder="1" applyAlignment="1">
      <alignment horizontal="center" vertical="center"/>
    </xf>
    <xf numFmtId="172" fontId="1" fillId="0" borderId="2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0" fillId="0" borderId="32" xfId="0" applyFont="1" applyBorder="1" applyAlignment="1">
      <alignment horizontal="center" vertical="center"/>
    </xf>
    <xf numFmtId="0" fontId="30" fillId="19" borderId="5" xfId="0" applyFont="1" applyFill="1" applyBorder="1" applyAlignment="1">
      <alignment horizontal="center" vertical="center"/>
    </xf>
    <xf numFmtId="0" fontId="30" fillId="19" borderId="6" xfId="0" applyFont="1" applyFill="1" applyBorder="1" applyAlignment="1">
      <alignment horizontal="center" vertical="center"/>
    </xf>
    <xf numFmtId="0" fontId="30" fillId="19" borderId="7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/>
    </xf>
    <xf numFmtId="0" fontId="30" fillId="0" borderId="33" xfId="0" applyFont="1" applyBorder="1" applyAlignment="1">
      <alignment horizontal="center" vertical="center"/>
    </xf>
    <xf numFmtId="172" fontId="1" fillId="0" borderId="26" xfId="0" applyNumberFormat="1" applyFont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64" fontId="3" fillId="3" borderId="5" xfId="0" applyNumberFormat="1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165" fontId="3" fillId="3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165" fontId="2" fillId="3" borderId="14" xfId="0" applyNumberFormat="1" applyFont="1" applyFill="1" applyBorder="1" applyAlignment="1">
      <alignment horizontal="center"/>
    </xf>
    <xf numFmtId="0" fontId="4" fillId="0" borderId="12" xfId="0" applyFont="1" applyBorder="1"/>
    <xf numFmtId="166" fontId="1" fillId="13" borderId="5" xfId="0" applyNumberFormat="1" applyFont="1" applyFill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166" fontId="1" fillId="12" borderId="5" xfId="0" applyNumberFormat="1" applyFont="1" applyFill="1" applyBorder="1" applyAlignment="1">
      <alignment horizontal="center"/>
    </xf>
    <xf numFmtId="166" fontId="1" fillId="16" borderId="6" xfId="0" applyNumberFormat="1" applyFont="1" applyFill="1" applyBorder="1" applyAlignment="1">
      <alignment horizontal="center"/>
    </xf>
    <xf numFmtId="166" fontId="0" fillId="17" borderId="5" xfId="0" applyNumberFormat="1" applyFill="1" applyBorder="1" applyAlignment="1">
      <alignment horizontal="center" wrapText="1"/>
    </xf>
    <xf numFmtId="166" fontId="0" fillId="18" borderId="5" xfId="0" applyNumberFormat="1" applyFill="1" applyBorder="1" applyAlignment="1">
      <alignment horizontal="center" wrapText="1"/>
    </xf>
    <xf numFmtId="166" fontId="0" fillId="0" borderId="5" xfId="0" applyNumberFormat="1" applyBorder="1" applyAlignment="1">
      <alignment horizontal="center" wrapText="1"/>
    </xf>
    <xf numFmtId="166" fontId="1" fillId="14" borderId="26" xfId="0" applyNumberFormat="1" applyFont="1" applyFill="1" applyBorder="1" applyAlignment="1">
      <alignment horizontal="center"/>
    </xf>
    <xf numFmtId="0" fontId="4" fillId="0" borderId="24" xfId="0" applyFont="1" applyBorder="1"/>
    <xf numFmtId="0" fontId="1" fillId="0" borderId="5" xfId="0" applyFont="1" applyBorder="1" applyAlignment="1">
      <alignment horizontal="right"/>
    </xf>
    <xf numFmtId="165" fontId="1" fillId="16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" fillId="2" borderId="0" xfId="0" applyFont="1" applyFill="1"/>
    <xf numFmtId="0" fontId="14" fillId="4" borderId="5" xfId="0" applyFont="1" applyFill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0" fontId="4" fillId="0" borderId="11" xfId="0" applyFont="1" applyBorder="1"/>
    <xf numFmtId="165" fontId="12" fillId="0" borderId="5" xfId="0" applyNumberFormat="1" applyFont="1" applyBorder="1" applyAlignment="1">
      <alignment horizontal="center"/>
    </xf>
    <xf numFmtId="0" fontId="1" fillId="0" borderId="13" xfId="0" applyFont="1" applyBorder="1" applyAlignment="1">
      <alignment horizontal="right" vertical="center"/>
    </xf>
    <xf numFmtId="0" fontId="4" fillId="0" borderId="22" xfId="0" applyFont="1" applyBorder="1"/>
    <xf numFmtId="165" fontId="1" fillId="12" borderId="14" xfId="0" applyNumberFormat="1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5" xfId="0" applyFont="1" applyBorder="1"/>
    <xf numFmtId="165" fontId="1" fillId="0" borderId="5" xfId="0" applyNumberFormat="1" applyFont="1" applyBorder="1" applyAlignment="1">
      <alignment horizontal="center"/>
    </xf>
    <xf numFmtId="166" fontId="9" fillId="19" borderId="0" xfId="0" applyNumberFormat="1" applyFont="1" applyFill="1" applyAlignment="1">
      <alignment horizontal="center"/>
    </xf>
    <xf numFmtId="166" fontId="1" fillId="15" borderId="5" xfId="0" applyNumberFormat="1" applyFont="1" applyFill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166" fontId="1" fillId="22" borderId="24" xfId="0" applyNumberFormat="1" applyFont="1" applyFill="1" applyBorder="1" applyAlignment="1">
      <alignment horizontal="center"/>
    </xf>
    <xf numFmtId="0" fontId="4" fillId="23" borderId="25" xfId="0" applyFont="1" applyFill="1" applyBorder="1"/>
    <xf numFmtId="166" fontId="1" fillId="5" borderId="5" xfId="0" applyNumberFormat="1" applyFont="1" applyFill="1" applyBorder="1" applyAlignment="1">
      <alignment horizontal="center"/>
    </xf>
    <xf numFmtId="166" fontId="1" fillId="20" borderId="5" xfId="0" applyNumberFormat="1" applyFont="1" applyFill="1" applyBorder="1" applyAlignment="1">
      <alignment horizontal="center"/>
    </xf>
    <xf numFmtId="166" fontId="1" fillId="0" borderId="26" xfId="0" applyNumberFormat="1" applyFont="1" applyBorder="1" applyAlignment="1">
      <alignment horizontal="center"/>
    </xf>
    <xf numFmtId="166" fontId="1" fillId="10" borderId="5" xfId="0" applyNumberFormat="1" applyFont="1" applyFill="1" applyBorder="1" applyAlignment="1">
      <alignment horizontal="center"/>
    </xf>
    <xf numFmtId="0" fontId="4" fillId="10" borderId="7" xfId="0" applyFont="1" applyFill="1" applyBorder="1"/>
    <xf numFmtId="0" fontId="1" fillId="2" borderId="13" xfId="0" applyFont="1" applyFill="1" applyBorder="1"/>
    <xf numFmtId="165" fontId="10" fillId="3" borderId="5" xfId="0" applyNumberFormat="1" applyFont="1" applyFill="1" applyBorder="1" applyAlignment="1">
      <alignment horizontal="center"/>
    </xf>
    <xf numFmtId="165" fontId="1" fillId="5" borderId="5" xfId="0" applyNumberFormat="1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center" vertical="center"/>
    </xf>
    <xf numFmtId="0" fontId="4" fillId="0" borderId="29" xfId="0" applyFont="1" applyBorder="1"/>
    <xf numFmtId="0" fontId="4" fillId="0" borderId="30" xfId="0" applyFont="1" applyBorder="1"/>
    <xf numFmtId="0" fontId="4" fillId="24" borderId="7" xfId="0" applyFont="1" applyFill="1" applyBorder="1"/>
    <xf numFmtId="166" fontId="1" fillId="24" borderId="5" xfId="0" applyNumberFormat="1" applyFont="1" applyFill="1" applyBorder="1" applyAlignment="1">
      <alignment horizontal="center"/>
    </xf>
    <xf numFmtId="166" fontId="1" fillId="25" borderId="5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/>
    </xf>
    <xf numFmtId="166" fontId="1" fillId="3" borderId="5" xfId="0" applyNumberFormat="1" applyFont="1" applyFill="1" applyBorder="1" applyAlignment="1">
      <alignment horizontal="center"/>
    </xf>
    <xf numFmtId="166" fontId="2" fillId="9" borderId="6" xfId="0" applyNumberFormat="1" applyFont="1" applyFill="1" applyBorder="1" applyAlignment="1">
      <alignment horizontal="center"/>
    </xf>
    <xf numFmtId="0" fontId="1" fillId="0" borderId="0" xfId="0" applyFont="1"/>
    <xf numFmtId="0" fontId="2" fillId="32" borderId="0" xfId="0" applyFont="1" applyFill="1" applyAlignment="1">
      <alignment horizontal="center"/>
    </xf>
    <xf numFmtId="4" fontId="1" fillId="0" borderId="0" xfId="0" applyNumberFormat="1" applyFont="1"/>
    <xf numFmtId="0" fontId="2" fillId="22" borderId="0" xfId="0" applyFont="1" applyFill="1" applyAlignment="1">
      <alignment horizontal="center"/>
    </xf>
    <xf numFmtId="0" fontId="2" fillId="34" borderId="0" xfId="0" applyFont="1" applyFill="1" applyAlignment="1">
      <alignment horizontal="center"/>
    </xf>
    <xf numFmtId="172" fontId="1" fillId="0" borderId="0" xfId="0" applyNumberFormat="1" applyFont="1"/>
    <xf numFmtId="0" fontId="12" fillId="19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/>
    </xf>
    <xf numFmtId="166" fontId="1" fillId="0" borderId="0" xfId="0" applyNumberFormat="1" applyFont="1"/>
    <xf numFmtId="3" fontId="1" fillId="0" borderId="0" xfId="0" applyNumberFormat="1" applyFont="1"/>
    <xf numFmtId="0" fontId="2" fillId="31" borderId="0" xfId="0" applyFont="1" applyFill="1" applyAlignment="1">
      <alignment horizontal="center"/>
    </xf>
    <xf numFmtId="0" fontId="12" fillId="35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 wrapText="1"/>
    </xf>
    <xf numFmtId="2" fontId="1" fillId="0" borderId="0" xfId="0" applyNumberFormat="1" applyFont="1"/>
    <xf numFmtId="0" fontId="2" fillId="22" borderId="0" xfId="0" applyFont="1" applyFill="1"/>
    <xf numFmtId="0" fontId="2" fillId="31" borderId="0" xfId="0" applyFont="1" applyFill="1"/>
    <xf numFmtId="0" fontId="27" fillId="19" borderId="0" xfId="0" applyFont="1" applyFill="1" applyAlignment="1">
      <alignment horizontal="center" vertical="center"/>
    </xf>
    <xf numFmtId="0" fontId="28" fillId="17" borderId="14" xfId="0" applyFont="1" applyFill="1" applyBorder="1" applyAlignment="1">
      <alignment vertical="center" wrapText="1"/>
    </xf>
    <xf numFmtId="0" fontId="4" fillId="0" borderId="20" xfId="0" applyFont="1" applyBorder="1"/>
    <xf numFmtId="0" fontId="4" fillId="0" borderId="18" xfId="0" applyFont="1" applyBorder="1"/>
    <xf numFmtId="0" fontId="1" fillId="17" borderId="14" xfId="0" applyFont="1" applyFill="1" applyBorder="1" applyAlignment="1">
      <alignment vertical="center" wrapText="1"/>
    </xf>
    <xf numFmtId="172" fontId="28" fillId="31" borderId="5" xfId="0" applyNumberFormat="1" applyFont="1" applyFill="1" applyBorder="1" applyAlignment="1">
      <alignment horizontal="center" vertical="center"/>
    </xf>
    <xf numFmtId="172" fontId="1" fillId="39" borderId="20" xfId="0" applyNumberFormat="1" applyFont="1" applyFill="1" applyBorder="1" applyAlignment="1">
      <alignment horizontal="left" vertical="center"/>
    </xf>
    <xf numFmtId="0" fontId="30" fillId="32" borderId="20" xfId="0" applyFont="1" applyFill="1" applyBorder="1" applyAlignment="1">
      <alignment vertical="center"/>
    </xf>
    <xf numFmtId="0" fontId="30" fillId="32" borderId="26" xfId="0" applyFont="1" applyFill="1" applyBorder="1" applyAlignment="1">
      <alignment vertical="center"/>
    </xf>
    <xf numFmtId="172" fontId="1" fillId="39" borderId="20" xfId="0" applyNumberFormat="1" applyFont="1" applyFill="1" applyBorder="1" applyAlignment="1">
      <alignment vertical="center"/>
    </xf>
    <xf numFmtId="172" fontId="1" fillId="39" borderId="26" xfId="0" applyNumberFormat="1" applyFont="1" applyFill="1" applyBorder="1" applyAlignment="1">
      <alignment vertical="center"/>
    </xf>
    <xf numFmtId="0" fontId="1" fillId="0" borderId="6" xfId="0" applyFont="1" applyBorder="1"/>
    <xf numFmtId="0" fontId="28" fillId="2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1050"/>
  <sheetViews>
    <sheetView topLeftCell="A42" workbookViewId="0">
      <selection activeCell="F40" sqref="F40:G40"/>
    </sheetView>
  </sheetViews>
  <sheetFormatPr baseColWidth="10" defaultColWidth="14.44140625" defaultRowHeight="15.75" customHeight="1" x14ac:dyDescent="0.25"/>
  <cols>
    <col min="1" max="1" width="28.6640625" customWidth="1"/>
    <col min="2" max="7" width="12.5546875" customWidth="1"/>
    <col min="8" max="10" width="12.88671875" customWidth="1"/>
    <col min="11" max="11" width="20" customWidth="1"/>
    <col min="12" max="12" width="16.88671875" customWidth="1"/>
    <col min="13" max="13" width="16" customWidth="1"/>
    <col min="14" max="16" width="15.109375" customWidth="1"/>
    <col min="17" max="17" width="17.88671875" customWidth="1"/>
    <col min="18" max="18" width="15.44140625" customWidth="1"/>
    <col min="19" max="19" width="18.6640625" customWidth="1"/>
    <col min="20" max="20" width="18.44140625" customWidth="1"/>
    <col min="21" max="21" width="23" customWidth="1"/>
    <col min="22" max="22" width="18" customWidth="1"/>
    <col min="24" max="25" width="14.88671875" customWidth="1"/>
    <col min="26" max="26" width="19.33203125" customWidth="1"/>
    <col min="27" max="27" width="17.88671875" customWidth="1"/>
    <col min="30" max="30" width="17.33203125" customWidth="1"/>
    <col min="31" max="31" width="18.6640625" customWidth="1"/>
    <col min="32" max="32" width="17.44140625" customWidth="1"/>
    <col min="36" max="39" width="14.6640625" customWidth="1"/>
  </cols>
  <sheetData>
    <row r="1" spans="1:53" ht="13.2" x14ac:dyDescent="0.25">
      <c r="A1" s="1"/>
      <c r="B1" s="2"/>
      <c r="C1" s="2"/>
      <c r="D1" s="2"/>
      <c r="E1" s="2"/>
      <c r="F1" s="2"/>
      <c r="G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J1" s="3"/>
      <c r="AK1" s="3"/>
      <c r="AL1" s="3"/>
      <c r="AO1" s="3"/>
      <c r="AP1" s="3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3.2" x14ac:dyDescent="0.25">
      <c r="A2" s="4"/>
      <c r="B2" s="253" t="s">
        <v>0</v>
      </c>
      <c r="C2" s="254"/>
      <c r="D2" s="254"/>
      <c r="E2" s="254"/>
      <c r="F2" s="254"/>
      <c r="G2" s="255"/>
      <c r="K2" s="5"/>
      <c r="L2" s="256" t="s">
        <v>1</v>
      </c>
      <c r="M2" s="257"/>
      <c r="N2" s="258"/>
      <c r="O2" s="256" t="s">
        <v>2</v>
      </c>
      <c r="P2" s="257"/>
      <c r="Q2" s="258"/>
      <c r="R2" s="256" t="s">
        <v>3</v>
      </c>
      <c r="S2" s="257"/>
      <c r="T2" s="258"/>
      <c r="U2" s="6" t="s">
        <v>4</v>
      </c>
      <c r="AJ2" s="3"/>
      <c r="AK2" s="3"/>
      <c r="AL2" s="3"/>
      <c r="AM2" s="3"/>
      <c r="AP2" s="3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3.2" x14ac:dyDescent="0.25">
      <c r="A3" s="7" t="s">
        <v>5</v>
      </c>
      <c r="B3" s="8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K3" s="10" t="s">
        <v>12</v>
      </c>
      <c r="L3" s="11" t="s">
        <v>13</v>
      </c>
      <c r="M3" s="12" t="s">
        <v>14</v>
      </c>
      <c r="N3" s="13" t="s">
        <v>15</v>
      </c>
      <c r="O3" s="14" t="s">
        <v>13</v>
      </c>
      <c r="P3" s="12" t="s">
        <v>14</v>
      </c>
      <c r="Q3" s="15" t="s">
        <v>15</v>
      </c>
      <c r="R3" s="12" t="s">
        <v>13</v>
      </c>
      <c r="S3" s="12" t="s">
        <v>14</v>
      </c>
      <c r="T3" s="15" t="s">
        <v>15</v>
      </c>
      <c r="U3" s="16" t="s">
        <v>16</v>
      </c>
      <c r="AJ3" s="3"/>
      <c r="AK3" s="3"/>
      <c r="AL3" s="3"/>
      <c r="AM3" s="3"/>
      <c r="AP3" s="3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3.2" x14ac:dyDescent="0.25">
      <c r="A4" s="17">
        <v>1</v>
      </c>
      <c r="B4" s="18">
        <v>88</v>
      </c>
      <c r="C4" s="18">
        <v>71</v>
      </c>
      <c r="D4" s="18">
        <v>51</v>
      </c>
      <c r="E4" s="18">
        <v>49</v>
      </c>
      <c r="F4" s="18">
        <v>44</v>
      </c>
      <c r="G4" s="19">
        <v>37</v>
      </c>
      <c r="K4" s="9" t="s">
        <v>6</v>
      </c>
      <c r="L4" s="20">
        <f t="shared" ref="L4:L9" si="0">T24*R4</f>
        <v>756000</v>
      </c>
      <c r="M4" s="21">
        <f t="shared" ref="M4:M9" si="1">T24*S4</f>
        <v>1152000</v>
      </c>
      <c r="N4" s="22">
        <f t="shared" ref="N4:N9" si="2">T24*T4</f>
        <v>1908000</v>
      </c>
      <c r="O4" s="23">
        <v>105</v>
      </c>
      <c r="P4" s="21">
        <v>160</v>
      </c>
      <c r="Q4" s="24">
        <v>265</v>
      </c>
      <c r="R4" s="21">
        <f t="shared" ref="R4:T4" si="3">O4*12</f>
        <v>1260</v>
      </c>
      <c r="S4" s="20">
        <f t="shared" si="3"/>
        <v>1920</v>
      </c>
      <c r="T4" s="25">
        <f t="shared" si="3"/>
        <v>3180</v>
      </c>
      <c r="U4" s="26" t="s">
        <v>17</v>
      </c>
      <c r="AH4" s="3"/>
      <c r="AP4" s="3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3.2" x14ac:dyDescent="0.25">
      <c r="A5" s="17">
        <v>2</v>
      </c>
      <c r="B5" s="3">
        <v>91</v>
      </c>
      <c r="C5" s="3">
        <v>74</v>
      </c>
      <c r="D5" s="3">
        <v>54</v>
      </c>
      <c r="E5" s="3">
        <v>53</v>
      </c>
      <c r="F5" s="3">
        <v>48</v>
      </c>
      <c r="G5" s="27">
        <v>38</v>
      </c>
      <c r="K5" s="9" t="s">
        <v>7</v>
      </c>
      <c r="L5" s="28">
        <f t="shared" si="0"/>
        <v>270300</v>
      </c>
      <c r="M5" s="29">
        <f t="shared" si="1"/>
        <v>318000</v>
      </c>
      <c r="N5" s="30">
        <f t="shared" si="2"/>
        <v>413400</v>
      </c>
      <c r="O5" s="31">
        <v>85</v>
      </c>
      <c r="P5" s="29">
        <v>100</v>
      </c>
      <c r="Q5" s="32">
        <v>130</v>
      </c>
      <c r="R5" s="29">
        <f t="shared" ref="R5:T5" si="4">O5*12</f>
        <v>1020</v>
      </c>
      <c r="S5" s="28">
        <f t="shared" si="4"/>
        <v>1200</v>
      </c>
      <c r="T5" s="33">
        <f t="shared" si="4"/>
        <v>1560</v>
      </c>
      <c r="U5" s="34">
        <v>0.5</v>
      </c>
      <c r="AH5" s="3"/>
      <c r="AP5" s="3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3.2" x14ac:dyDescent="0.25">
      <c r="A6" s="17">
        <v>3</v>
      </c>
      <c r="B6" s="3">
        <v>88</v>
      </c>
      <c r="C6" s="3">
        <v>78</v>
      </c>
      <c r="D6" s="3">
        <v>57</v>
      </c>
      <c r="E6" s="3">
        <v>60</v>
      </c>
      <c r="F6" s="3">
        <v>51</v>
      </c>
      <c r="G6" s="27">
        <v>49</v>
      </c>
      <c r="K6" s="9" t="s">
        <v>8</v>
      </c>
      <c r="L6" s="28">
        <f t="shared" si="0"/>
        <v>608400</v>
      </c>
      <c r="M6" s="29">
        <f t="shared" si="1"/>
        <v>889200</v>
      </c>
      <c r="N6" s="30">
        <f t="shared" si="2"/>
        <v>1310400</v>
      </c>
      <c r="O6" s="31">
        <v>65</v>
      </c>
      <c r="P6" s="29">
        <v>95</v>
      </c>
      <c r="Q6" s="32">
        <v>140</v>
      </c>
      <c r="R6" s="29">
        <f t="shared" ref="R6:T6" si="5">O6*12</f>
        <v>780</v>
      </c>
      <c r="S6" s="28">
        <f t="shared" si="5"/>
        <v>1140</v>
      </c>
      <c r="T6" s="33">
        <f t="shared" si="5"/>
        <v>1680</v>
      </c>
      <c r="U6" s="34">
        <v>0.65</v>
      </c>
      <c r="AP6" s="3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3.2" x14ac:dyDescent="0.25">
      <c r="A7" s="17">
        <v>4</v>
      </c>
      <c r="B7" s="3">
        <v>89</v>
      </c>
      <c r="C7" s="3">
        <v>88</v>
      </c>
      <c r="D7" s="3">
        <v>59</v>
      </c>
      <c r="E7" s="3">
        <v>63</v>
      </c>
      <c r="F7" s="3">
        <v>53</v>
      </c>
      <c r="G7" s="27">
        <v>50</v>
      </c>
      <c r="K7" s="9" t="s">
        <v>9</v>
      </c>
      <c r="L7" s="28">
        <f t="shared" si="0"/>
        <v>156000</v>
      </c>
      <c r="M7" s="29">
        <f t="shared" si="1"/>
        <v>204000</v>
      </c>
      <c r="N7" s="30">
        <f t="shared" si="2"/>
        <v>252000</v>
      </c>
      <c r="O7" s="31">
        <v>65</v>
      </c>
      <c r="P7" s="29">
        <v>85</v>
      </c>
      <c r="Q7" s="32">
        <v>105</v>
      </c>
      <c r="R7" s="29">
        <f t="shared" ref="R7:T7" si="6">O7*12</f>
        <v>780</v>
      </c>
      <c r="S7" s="28">
        <f t="shared" si="6"/>
        <v>1020</v>
      </c>
      <c r="T7" s="33">
        <f t="shared" si="6"/>
        <v>1260</v>
      </c>
      <c r="U7" s="34">
        <v>0.4</v>
      </c>
      <c r="AH7" s="3"/>
      <c r="AP7" s="3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3.2" x14ac:dyDescent="0.25">
      <c r="A8" s="17">
        <v>5</v>
      </c>
      <c r="B8" s="3">
        <v>91</v>
      </c>
      <c r="C8" s="3">
        <v>84</v>
      </c>
      <c r="D8" s="3">
        <v>61</v>
      </c>
      <c r="E8" s="3">
        <v>74</v>
      </c>
      <c r="F8" s="3">
        <v>57</v>
      </c>
      <c r="G8" s="27">
        <v>48</v>
      </c>
      <c r="K8" s="9" t="s">
        <v>10</v>
      </c>
      <c r="L8" s="28">
        <f t="shared" si="0"/>
        <v>188100</v>
      </c>
      <c r="M8" s="29">
        <f t="shared" si="1"/>
        <v>239400</v>
      </c>
      <c r="N8" s="30">
        <f t="shared" si="2"/>
        <v>342000</v>
      </c>
      <c r="O8" s="31">
        <v>55</v>
      </c>
      <c r="P8" s="29">
        <v>70</v>
      </c>
      <c r="Q8" s="32">
        <v>100</v>
      </c>
      <c r="R8" s="29">
        <f t="shared" ref="R8:T8" si="7">O8*12</f>
        <v>660</v>
      </c>
      <c r="S8" s="28">
        <f t="shared" si="7"/>
        <v>840</v>
      </c>
      <c r="T8" s="33">
        <f t="shared" si="7"/>
        <v>1200</v>
      </c>
      <c r="U8" s="34">
        <v>0.5</v>
      </c>
      <c r="AH8" s="3"/>
      <c r="AP8" s="3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3.2" x14ac:dyDescent="0.25">
      <c r="A9" s="17">
        <v>6</v>
      </c>
      <c r="B9" s="3">
        <v>123</v>
      </c>
      <c r="C9" s="3">
        <v>92</v>
      </c>
      <c r="D9" s="3">
        <v>74</v>
      </c>
      <c r="E9" s="3">
        <v>72</v>
      </c>
      <c r="F9" s="3">
        <v>63</v>
      </c>
      <c r="G9" s="27">
        <v>57</v>
      </c>
      <c r="K9" s="9" t="s">
        <v>11</v>
      </c>
      <c r="L9" s="28">
        <f t="shared" si="0"/>
        <v>174000</v>
      </c>
      <c r="M9" s="29">
        <f t="shared" si="1"/>
        <v>226200</v>
      </c>
      <c r="N9" s="30">
        <f t="shared" si="2"/>
        <v>295800</v>
      </c>
      <c r="O9" s="35">
        <v>50</v>
      </c>
      <c r="P9" s="36">
        <v>65</v>
      </c>
      <c r="Q9" s="37">
        <v>85</v>
      </c>
      <c r="R9" s="29">
        <f t="shared" ref="R9:T9" si="8">O9*12</f>
        <v>600</v>
      </c>
      <c r="S9" s="28">
        <f t="shared" si="8"/>
        <v>780</v>
      </c>
      <c r="T9" s="33">
        <f t="shared" si="8"/>
        <v>1020</v>
      </c>
      <c r="U9" s="38" t="s">
        <v>17</v>
      </c>
      <c r="AH9" s="3"/>
      <c r="AP9" s="3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3.2" x14ac:dyDescent="0.25">
      <c r="A10" s="17">
        <v>7</v>
      </c>
      <c r="B10" s="3">
        <v>121</v>
      </c>
      <c r="C10" s="3">
        <v>92</v>
      </c>
      <c r="D10" s="3">
        <v>69</v>
      </c>
      <c r="E10" s="3">
        <v>65</v>
      </c>
      <c r="F10" s="3">
        <v>60</v>
      </c>
      <c r="G10" s="27">
        <v>49</v>
      </c>
      <c r="K10" s="39" t="s">
        <v>18</v>
      </c>
      <c r="L10" s="40">
        <f t="shared" ref="L10:N10" si="9">SUM(L4:L9)</f>
        <v>2152800</v>
      </c>
      <c r="M10" s="41">
        <f t="shared" si="9"/>
        <v>3028800</v>
      </c>
      <c r="N10" s="41">
        <f t="shared" si="9"/>
        <v>4521600</v>
      </c>
      <c r="O10" s="42"/>
      <c r="P10" s="42"/>
      <c r="Q10" s="42"/>
      <c r="R10" s="43">
        <f t="shared" ref="R10:T10" si="10">SUM(R4:R9)</f>
        <v>5100</v>
      </c>
      <c r="S10" s="41">
        <f t="shared" si="10"/>
        <v>6900</v>
      </c>
      <c r="T10" s="41">
        <f t="shared" si="10"/>
        <v>9900</v>
      </c>
      <c r="AH10" s="3"/>
      <c r="AP10" s="3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3.2" x14ac:dyDescent="0.25">
      <c r="A11" s="17">
        <v>8</v>
      </c>
      <c r="B11" s="3">
        <v>104</v>
      </c>
      <c r="C11" s="3">
        <v>73</v>
      </c>
      <c r="D11" s="3">
        <v>64</v>
      </c>
      <c r="E11" s="3">
        <v>57</v>
      </c>
      <c r="F11" s="3">
        <v>52</v>
      </c>
      <c r="G11" s="27">
        <v>48</v>
      </c>
      <c r="L11" s="42"/>
      <c r="M11" s="42"/>
      <c r="N11" s="42"/>
      <c r="O11" s="42"/>
      <c r="P11" s="42"/>
      <c r="Q11" s="42"/>
      <c r="R11" s="42"/>
      <c r="S11" s="42"/>
      <c r="T11" s="42"/>
      <c r="AH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3.2" x14ac:dyDescent="0.25">
      <c r="A12" s="17">
        <v>9</v>
      </c>
      <c r="B12" s="3">
        <v>103</v>
      </c>
      <c r="C12" s="3">
        <v>72</v>
      </c>
      <c r="D12" s="3">
        <v>59</v>
      </c>
      <c r="E12" s="3">
        <v>63</v>
      </c>
      <c r="F12" s="3">
        <v>51</v>
      </c>
      <c r="G12" s="27">
        <v>51</v>
      </c>
      <c r="K12" s="5"/>
      <c r="L12" s="259" t="s">
        <v>19</v>
      </c>
      <c r="M12" s="257"/>
      <c r="N12" s="258"/>
      <c r="O12" s="259" t="s">
        <v>20</v>
      </c>
      <c r="P12" s="257"/>
      <c r="Q12" s="258"/>
      <c r="V12" s="44"/>
      <c r="W12" s="44"/>
      <c r="X12" s="44"/>
      <c r="Y12" s="44"/>
      <c r="AE12" s="3"/>
      <c r="AF12" s="3"/>
      <c r="AG12" s="3"/>
      <c r="AH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3.2" x14ac:dyDescent="0.25">
      <c r="A13" s="17">
        <v>10</v>
      </c>
      <c r="B13" s="3">
        <v>106</v>
      </c>
      <c r="C13" s="3">
        <v>95</v>
      </c>
      <c r="D13" s="3">
        <v>68</v>
      </c>
      <c r="E13" s="3">
        <v>64</v>
      </c>
      <c r="F13" s="3">
        <v>54</v>
      </c>
      <c r="G13" s="27">
        <v>55</v>
      </c>
      <c r="K13" s="10" t="s">
        <v>12</v>
      </c>
      <c r="L13" s="45" t="s">
        <v>13</v>
      </c>
      <c r="M13" s="45" t="s">
        <v>14</v>
      </c>
      <c r="N13" s="46" t="s">
        <v>15</v>
      </c>
      <c r="O13" s="47" t="s">
        <v>13</v>
      </c>
      <c r="P13" s="45" t="s">
        <v>14</v>
      </c>
      <c r="Q13" s="45" t="s">
        <v>15</v>
      </c>
      <c r="V13" s="44"/>
      <c r="W13" s="44"/>
      <c r="X13" s="44"/>
      <c r="Y13" s="44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3.2" x14ac:dyDescent="0.25">
      <c r="A14" s="17">
        <v>11</v>
      </c>
      <c r="B14" s="3">
        <v>126</v>
      </c>
      <c r="C14" s="3">
        <v>95</v>
      </c>
      <c r="D14" s="3">
        <v>81</v>
      </c>
      <c r="E14" s="3">
        <v>79</v>
      </c>
      <c r="F14" s="3">
        <v>61</v>
      </c>
      <c r="G14" s="27">
        <v>58</v>
      </c>
      <c r="K14" s="9" t="s">
        <v>6</v>
      </c>
      <c r="L14" s="33">
        <f t="shared" ref="L14:L19" si="11">R24*R4</f>
        <v>327600</v>
      </c>
      <c r="M14" s="22">
        <f t="shared" ref="M14:M19" si="12">R24*S4</f>
        <v>499200</v>
      </c>
      <c r="N14" s="22">
        <f t="shared" ref="N14:N19" si="13">R24*T4</f>
        <v>826800</v>
      </c>
      <c r="O14" s="23">
        <f t="shared" ref="O14:O19" si="14">S24*R4</f>
        <v>107100</v>
      </c>
      <c r="P14" s="21">
        <f t="shared" ref="P14:P19" si="15">S24*S4</f>
        <v>163200</v>
      </c>
      <c r="Q14" s="21">
        <f t="shared" ref="Q14:Q19" si="16">S24*T4</f>
        <v>270300</v>
      </c>
      <c r="V14" s="44"/>
      <c r="W14" s="44"/>
      <c r="X14" s="44"/>
      <c r="Y14" s="44"/>
      <c r="AC14" s="3"/>
      <c r="AD14" s="3"/>
      <c r="AE14" s="3"/>
      <c r="AF14" s="3"/>
      <c r="AG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3.2" x14ac:dyDescent="0.25">
      <c r="A15" s="17">
        <v>12</v>
      </c>
      <c r="B15" s="48">
        <v>130</v>
      </c>
      <c r="C15" s="48">
        <v>106</v>
      </c>
      <c r="D15" s="48">
        <v>83</v>
      </c>
      <c r="E15" s="48">
        <v>81</v>
      </c>
      <c r="F15" s="48">
        <v>66</v>
      </c>
      <c r="G15" s="49">
        <v>60</v>
      </c>
      <c r="K15" s="9" t="s">
        <v>7</v>
      </c>
      <c r="L15" s="33">
        <f t="shared" si="11"/>
        <v>122400</v>
      </c>
      <c r="M15" s="30">
        <f t="shared" si="12"/>
        <v>144000</v>
      </c>
      <c r="N15" s="30">
        <f t="shared" si="13"/>
        <v>187200</v>
      </c>
      <c r="O15" s="31">
        <f t="shared" si="14"/>
        <v>40800</v>
      </c>
      <c r="P15" s="29">
        <f t="shared" si="15"/>
        <v>48000</v>
      </c>
      <c r="Q15" s="29">
        <f t="shared" si="16"/>
        <v>62400</v>
      </c>
      <c r="V15" s="44"/>
      <c r="W15" s="44"/>
      <c r="X15" s="44"/>
      <c r="Y15" s="44"/>
      <c r="AC15" s="3"/>
      <c r="AD15" s="3"/>
      <c r="AE15" s="3"/>
      <c r="AF15" s="3"/>
      <c r="AG15" s="3"/>
      <c r="AN15" s="3"/>
      <c r="AO15" s="260"/>
      <c r="AP15" s="261"/>
      <c r="AQ15" s="261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3.2" x14ac:dyDescent="0.25">
      <c r="A16" s="50" t="s">
        <v>21</v>
      </c>
      <c r="B16" s="51">
        <f t="shared" ref="B16:G16" si="17">AVERAGE(B4:B15)</f>
        <v>105</v>
      </c>
      <c r="C16" s="51">
        <f t="shared" si="17"/>
        <v>85</v>
      </c>
      <c r="D16" s="51">
        <f t="shared" si="17"/>
        <v>65</v>
      </c>
      <c r="E16" s="51">
        <f t="shared" si="17"/>
        <v>65</v>
      </c>
      <c r="F16" s="51">
        <f t="shared" si="17"/>
        <v>55</v>
      </c>
      <c r="G16" s="52">
        <f t="shared" si="17"/>
        <v>50</v>
      </c>
      <c r="K16" s="9" t="s">
        <v>8</v>
      </c>
      <c r="L16" s="33">
        <f t="shared" si="11"/>
        <v>304200</v>
      </c>
      <c r="M16" s="30">
        <f t="shared" si="12"/>
        <v>444600</v>
      </c>
      <c r="N16" s="30">
        <f t="shared" si="13"/>
        <v>655200</v>
      </c>
      <c r="O16" s="31">
        <f t="shared" si="14"/>
        <v>140400</v>
      </c>
      <c r="P16" s="29">
        <f t="shared" si="15"/>
        <v>205200</v>
      </c>
      <c r="Q16" s="29">
        <f t="shared" si="16"/>
        <v>302400</v>
      </c>
      <c r="V16" s="44"/>
      <c r="W16" s="44"/>
      <c r="X16" s="44"/>
      <c r="Y16" s="44"/>
      <c r="AN16" s="3"/>
      <c r="AO16" s="53"/>
      <c r="AP16" s="1"/>
      <c r="AQ16" s="1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13.8" x14ac:dyDescent="0.25">
      <c r="A17" s="50" t="s">
        <v>22</v>
      </c>
      <c r="B17" s="54">
        <f t="shared" ref="B17:G17" si="18">SUM(B4:B15)</f>
        <v>1260</v>
      </c>
      <c r="C17" s="54">
        <f t="shared" si="18"/>
        <v>1020</v>
      </c>
      <c r="D17" s="54">
        <f t="shared" si="18"/>
        <v>780</v>
      </c>
      <c r="E17" s="54">
        <f t="shared" si="18"/>
        <v>780</v>
      </c>
      <c r="F17" s="54">
        <f t="shared" si="18"/>
        <v>660</v>
      </c>
      <c r="G17" s="55">
        <f t="shared" si="18"/>
        <v>600</v>
      </c>
      <c r="K17" s="9" t="s">
        <v>9</v>
      </c>
      <c r="L17" s="33">
        <f t="shared" si="11"/>
        <v>58500</v>
      </c>
      <c r="M17" s="30">
        <f t="shared" si="12"/>
        <v>76500</v>
      </c>
      <c r="N17" s="30">
        <f t="shared" si="13"/>
        <v>94500</v>
      </c>
      <c r="O17" s="31">
        <f t="shared" si="14"/>
        <v>35100</v>
      </c>
      <c r="P17" s="29">
        <f t="shared" si="15"/>
        <v>45900</v>
      </c>
      <c r="Q17" s="29">
        <f t="shared" si="16"/>
        <v>56700</v>
      </c>
      <c r="T17" s="56"/>
      <c r="U17" s="57"/>
      <c r="V17" s="44"/>
      <c r="W17" s="44"/>
      <c r="X17" s="44"/>
      <c r="Y17" s="44"/>
      <c r="AN17" s="3"/>
      <c r="AO17" s="3"/>
      <c r="AP17" s="1"/>
      <c r="AQ17" s="1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2" x14ac:dyDescent="0.25">
      <c r="K18" s="9" t="s">
        <v>10</v>
      </c>
      <c r="L18" s="33">
        <f t="shared" si="11"/>
        <v>69300</v>
      </c>
      <c r="M18" s="30">
        <f t="shared" si="12"/>
        <v>88200</v>
      </c>
      <c r="N18" s="30">
        <f t="shared" si="13"/>
        <v>126000</v>
      </c>
      <c r="O18" s="31">
        <f t="shared" si="14"/>
        <v>56100</v>
      </c>
      <c r="P18" s="29">
        <f t="shared" si="15"/>
        <v>71400</v>
      </c>
      <c r="Q18" s="29">
        <f t="shared" si="16"/>
        <v>102000</v>
      </c>
      <c r="T18" s="58"/>
      <c r="U18" s="59"/>
      <c r="V18" s="44"/>
      <c r="W18" s="44"/>
      <c r="X18" s="44"/>
      <c r="Y18" s="44"/>
      <c r="AN18" s="3"/>
      <c r="AO18" s="3"/>
      <c r="AP18" s="1"/>
      <c r="AQ18" s="1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2" x14ac:dyDescent="0.25">
      <c r="A19" s="4"/>
      <c r="B19" s="262" t="s">
        <v>23</v>
      </c>
      <c r="C19" s="263"/>
      <c r="D19" s="262" t="s">
        <v>13</v>
      </c>
      <c r="E19" s="263"/>
      <c r="F19" s="262" t="s">
        <v>14</v>
      </c>
      <c r="G19" s="263"/>
      <c r="H19" s="262" t="s">
        <v>15</v>
      </c>
      <c r="I19" s="263"/>
      <c r="K19" s="9" t="s">
        <v>11</v>
      </c>
      <c r="L19" s="60">
        <f t="shared" si="11"/>
        <v>72000</v>
      </c>
      <c r="M19" s="61">
        <f t="shared" si="12"/>
        <v>93600</v>
      </c>
      <c r="N19" s="61">
        <f t="shared" si="13"/>
        <v>122400</v>
      </c>
      <c r="O19" s="35">
        <f t="shared" si="14"/>
        <v>33000</v>
      </c>
      <c r="P19" s="36">
        <f t="shared" si="15"/>
        <v>42900</v>
      </c>
      <c r="Q19" s="36">
        <f t="shared" si="16"/>
        <v>56100</v>
      </c>
      <c r="T19" s="62"/>
      <c r="U19" s="63"/>
      <c r="V19" s="44"/>
      <c r="W19" s="44"/>
      <c r="X19" s="44"/>
      <c r="Y19" s="44"/>
      <c r="AN19" s="3"/>
      <c r="AO19" s="3"/>
      <c r="AP19" s="1"/>
      <c r="AQ19" s="1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2" x14ac:dyDescent="0.25">
      <c r="A20" s="64" t="s">
        <v>24</v>
      </c>
      <c r="B20" s="267">
        <f>B39</f>
        <v>561000</v>
      </c>
      <c r="C20" s="258"/>
      <c r="D20" s="264"/>
      <c r="E20" s="258"/>
      <c r="F20" s="264"/>
      <c r="G20" s="258"/>
      <c r="H20" s="264"/>
      <c r="I20" s="258"/>
      <c r="K20" s="39" t="s">
        <v>18</v>
      </c>
      <c r="L20" s="65">
        <f t="shared" ref="L20:Q20" si="19">SUM(L14:L19)</f>
        <v>954000</v>
      </c>
      <c r="M20" s="66">
        <f t="shared" si="19"/>
        <v>1346100</v>
      </c>
      <c r="N20" s="66">
        <f t="shared" si="19"/>
        <v>2012100</v>
      </c>
      <c r="O20" s="67">
        <f t="shared" si="19"/>
        <v>412500</v>
      </c>
      <c r="P20" s="41">
        <f t="shared" si="19"/>
        <v>576600</v>
      </c>
      <c r="Q20" s="41">
        <f t="shared" si="19"/>
        <v>849900</v>
      </c>
      <c r="T20" s="62"/>
      <c r="U20" s="63"/>
      <c r="V20" s="44"/>
      <c r="W20" s="44"/>
      <c r="X20" s="44"/>
      <c r="Y20" s="44"/>
      <c r="AN20" s="3"/>
      <c r="AO20" s="3"/>
      <c r="AP20" s="1"/>
      <c r="AQ20" s="1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2" x14ac:dyDescent="0.25">
      <c r="A21" s="64" t="s">
        <v>25</v>
      </c>
      <c r="B21" s="265">
        <v>0</v>
      </c>
      <c r="C21" s="258"/>
      <c r="D21" s="268">
        <f>(D38+F38)*12</f>
        <v>50700</v>
      </c>
      <c r="E21" s="257"/>
      <c r="F21" s="265">
        <f>(D38+F38)*12</f>
        <v>50700</v>
      </c>
      <c r="G21" s="258"/>
      <c r="H21" s="265">
        <f>(D38+F38)*12</f>
        <v>50700</v>
      </c>
      <c r="I21" s="258"/>
      <c r="L21" s="42"/>
      <c r="M21" s="42"/>
      <c r="N21" s="42"/>
      <c r="O21" s="42"/>
      <c r="P21" s="42"/>
      <c r="Q21" s="42"/>
      <c r="T21" s="62"/>
      <c r="U21" s="63"/>
      <c r="V21" s="44"/>
      <c r="W21" s="44"/>
      <c r="X21" s="44"/>
      <c r="Y21" s="44"/>
      <c r="AN21" s="3"/>
      <c r="AO21" s="3"/>
      <c r="AP21" s="1"/>
      <c r="AQ21" s="1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8" x14ac:dyDescent="0.25">
      <c r="A22" s="64" t="s">
        <v>26</v>
      </c>
      <c r="B22" s="265">
        <v>0</v>
      </c>
      <c r="C22" s="258"/>
      <c r="D22" s="269">
        <v>672000</v>
      </c>
      <c r="E22" s="258"/>
      <c r="F22" s="265">
        <v>672000</v>
      </c>
      <c r="G22" s="258"/>
      <c r="H22" s="265">
        <v>672000</v>
      </c>
      <c r="I22" s="258"/>
      <c r="K22" s="5"/>
      <c r="L22" s="259" t="s">
        <v>27</v>
      </c>
      <c r="M22" s="257"/>
      <c r="N22" s="258"/>
      <c r="P22" s="69"/>
      <c r="Q22" s="266" t="s">
        <v>28</v>
      </c>
      <c r="R22" s="257"/>
      <c r="S22" s="257"/>
      <c r="T22" s="258"/>
      <c r="U22" s="63"/>
      <c r="V22" s="44"/>
      <c r="W22" s="44"/>
      <c r="X22" s="44"/>
      <c r="Y22" s="44"/>
      <c r="AN22" s="3"/>
      <c r="AO22" s="3"/>
      <c r="AP22" s="1"/>
      <c r="AQ22" s="1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5" customHeight="1" x14ac:dyDescent="0.25">
      <c r="A23" s="64" t="s">
        <v>29</v>
      </c>
      <c r="B23" s="265">
        <v>0</v>
      </c>
      <c r="C23" s="258"/>
      <c r="D23" s="270">
        <f>SUM(PRESTAMO!B9:B20)</f>
        <v>107715.90965437419</v>
      </c>
      <c r="E23" s="258"/>
      <c r="F23" s="271">
        <f>SUM(PRESTAMO!B21:B32)</f>
        <v>107715.90965437419</v>
      </c>
      <c r="G23" s="258"/>
      <c r="H23" s="271">
        <f>SUM(PRESTAMO!B33:B44)</f>
        <v>107715.90965437419</v>
      </c>
      <c r="I23" s="258"/>
      <c r="K23" s="10" t="s">
        <v>12</v>
      </c>
      <c r="L23" s="12" t="s">
        <v>13</v>
      </c>
      <c r="M23" s="12" t="s">
        <v>14</v>
      </c>
      <c r="N23" s="12" t="s">
        <v>15</v>
      </c>
      <c r="P23" s="70" t="s">
        <v>12</v>
      </c>
      <c r="Q23" s="71" t="s">
        <v>30</v>
      </c>
      <c r="R23" s="71" t="s">
        <v>31</v>
      </c>
      <c r="S23" s="71" t="s">
        <v>32</v>
      </c>
      <c r="T23" s="72" t="s">
        <v>33</v>
      </c>
      <c r="U23" s="63"/>
      <c r="V23" s="44"/>
      <c r="W23" s="44"/>
      <c r="X23" s="44"/>
      <c r="Y23" s="44"/>
      <c r="AN23" s="3"/>
      <c r="AO23" s="3"/>
      <c r="AP23" s="1"/>
      <c r="AQ23" s="1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4.25" customHeight="1" x14ac:dyDescent="0.25">
      <c r="A24" s="64" t="s">
        <v>34</v>
      </c>
      <c r="B24" s="265">
        <v>18000</v>
      </c>
      <c r="C24" s="258"/>
      <c r="D24" s="264"/>
      <c r="E24" s="258"/>
      <c r="F24" s="264"/>
      <c r="G24" s="258"/>
      <c r="H24" s="264"/>
      <c r="I24" s="258"/>
      <c r="K24" s="9" t="s">
        <v>6</v>
      </c>
      <c r="L24" s="25">
        <f t="shared" ref="L24:L29" si="20">R4*Q24</f>
        <v>321300</v>
      </c>
      <c r="M24" s="22">
        <f t="shared" ref="M24:M29" si="21">S4*Q24</f>
        <v>489600</v>
      </c>
      <c r="N24" s="21">
        <f t="shared" ref="N24:N29" si="22">T4*Q24</f>
        <v>810900</v>
      </c>
      <c r="P24" s="73" t="s">
        <v>6</v>
      </c>
      <c r="Q24" s="22">
        <f t="shared" ref="Q24:Q29" si="23">T24-R24-S24</f>
        <v>255</v>
      </c>
      <c r="R24" s="29">
        <v>260</v>
      </c>
      <c r="S24" s="21">
        <v>85</v>
      </c>
      <c r="T24" s="21">
        <v>600</v>
      </c>
      <c r="U24" s="63"/>
      <c r="V24" s="44"/>
      <c r="W24" s="44"/>
      <c r="X24" s="44"/>
      <c r="Y24" s="44"/>
      <c r="AH24" s="3"/>
      <c r="AN24" s="3"/>
      <c r="AP24" s="1"/>
      <c r="AQ24" s="1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9.5" customHeight="1" x14ac:dyDescent="0.25">
      <c r="A25" s="64" t="s">
        <v>35</v>
      </c>
      <c r="B25" s="265">
        <v>32000</v>
      </c>
      <c r="C25" s="258"/>
      <c r="D25" s="264"/>
      <c r="E25" s="258"/>
      <c r="F25" s="264"/>
      <c r="G25" s="258"/>
      <c r="H25" s="264"/>
      <c r="I25" s="258"/>
      <c r="K25" s="9" t="s">
        <v>7</v>
      </c>
      <c r="L25" s="33">
        <f t="shared" si="20"/>
        <v>107100</v>
      </c>
      <c r="M25" s="30">
        <f t="shared" si="21"/>
        <v>126000</v>
      </c>
      <c r="N25" s="29">
        <f t="shared" si="22"/>
        <v>163800</v>
      </c>
      <c r="P25" s="73" t="s">
        <v>7</v>
      </c>
      <c r="Q25" s="30">
        <f t="shared" si="23"/>
        <v>105</v>
      </c>
      <c r="R25" s="29">
        <v>120</v>
      </c>
      <c r="S25" s="29">
        <v>40</v>
      </c>
      <c r="T25" s="29">
        <v>265</v>
      </c>
      <c r="V25" s="44"/>
      <c r="W25" s="44"/>
      <c r="X25" s="44"/>
      <c r="Y25" s="44"/>
      <c r="AB25" s="3"/>
      <c r="AG25" s="3"/>
      <c r="AH25" s="3"/>
      <c r="AN25" s="3"/>
      <c r="AP25" s="1"/>
      <c r="AQ25" s="1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7.25" customHeight="1" x14ac:dyDescent="0.25">
      <c r="A26" s="64" t="s">
        <v>36</v>
      </c>
      <c r="B26" s="265">
        <v>0</v>
      </c>
      <c r="C26" s="258"/>
      <c r="D26" s="272">
        <f>L20</f>
        <v>954000</v>
      </c>
      <c r="E26" s="273"/>
      <c r="F26" s="265">
        <f>M20</f>
        <v>1346100</v>
      </c>
      <c r="G26" s="258"/>
      <c r="H26" s="265">
        <f>N20</f>
        <v>2012100</v>
      </c>
      <c r="I26" s="258"/>
      <c r="K26" s="9" t="s">
        <v>8</v>
      </c>
      <c r="L26" s="33">
        <f t="shared" si="20"/>
        <v>163800</v>
      </c>
      <c r="M26" s="30">
        <f t="shared" si="21"/>
        <v>239400</v>
      </c>
      <c r="N26" s="29">
        <f t="shared" si="22"/>
        <v>352800</v>
      </c>
      <c r="P26" s="73" t="s">
        <v>8</v>
      </c>
      <c r="Q26" s="30">
        <f t="shared" si="23"/>
        <v>210</v>
      </c>
      <c r="R26" s="29">
        <v>390</v>
      </c>
      <c r="S26" s="29">
        <v>180</v>
      </c>
      <c r="T26" s="29">
        <v>780</v>
      </c>
      <c r="V26" s="44"/>
      <c r="W26" s="44"/>
      <c r="X26" s="44"/>
      <c r="Y26" s="44"/>
      <c r="AN26" s="3"/>
      <c r="AP26" s="1"/>
      <c r="AQ26" s="1"/>
    </row>
    <row r="27" spans="1:53" ht="17.25" customHeight="1" x14ac:dyDescent="0.25">
      <c r="A27" s="64" t="s">
        <v>37</v>
      </c>
      <c r="B27" s="265">
        <v>0</v>
      </c>
      <c r="C27" s="258"/>
      <c r="D27" s="289">
        <f>PRESTAMO!I14</f>
        <v>12553.39062234335</v>
      </c>
      <c r="E27" s="261"/>
      <c r="F27" s="265">
        <f>SUM(PRESTAMO!C21:C32)</f>
        <v>7795.2134605800211</v>
      </c>
      <c r="G27" s="258"/>
      <c r="H27" s="265">
        <f>SUM(PRESTAMO!C33:C44)</f>
        <v>2799.1248801928759</v>
      </c>
      <c r="I27" s="258"/>
      <c r="K27" s="9" t="s">
        <v>9</v>
      </c>
      <c r="L27" s="33">
        <f t="shared" si="20"/>
        <v>62400</v>
      </c>
      <c r="M27" s="30">
        <f t="shared" si="21"/>
        <v>81600</v>
      </c>
      <c r="N27" s="29">
        <f t="shared" si="22"/>
        <v>100800</v>
      </c>
      <c r="P27" s="73" t="s">
        <v>9</v>
      </c>
      <c r="Q27" s="30">
        <f t="shared" si="23"/>
        <v>80</v>
      </c>
      <c r="R27" s="29">
        <v>75</v>
      </c>
      <c r="S27" s="29">
        <v>45</v>
      </c>
      <c r="T27" s="29">
        <v>200</v>
      </c>
      <c r="V27" s="44"/>
      <c r="W27" s="44"/>
      <c r="X27" s="44"/>
      <c r="Y27" s="44"/>
      <c r="AF27" s="2"/>
      <c r="AN27" s="3"/>
      <c r="AP27" s="1"/>
      <c r="AQ27" s="1"/>
    </row>
    <row r="28" spans="1:53" ht="17.25" customHeight="1" x14ac:dyDescent="0.25">
      <c r="A28" s="64" t="s">
        <v>38</v>
      </c>
      <c r="B28" s="265">
        <v>0</v>
      </c>
      <c r="C28" s="258"/>
      <c r="D28" s="290">
        <f>O20</f>
        <v>412500</v>
      </c>
      <c r="E28" s="258"/>
      <c r="F28" s="291">
        <f>P20</f>
        <v>576600</v>
      </c>
      <c r="G28" s="258"/>
      <c r="H28" s="265">
        <f>Q20</f>
        <v>849900</v>
      </c>
      <c r="I28" s="258"/>
      <c r="K28" s="9" t="s">
        <v>10</v>
      </c>
      <c r="L28" s="33">
        <f t="shared" si="20"/>
        <v>62700</v>
      </c>
      <c r="M28" s="30">
        <f t="shared" si="21"/>
        <v>79800</v>
      </c>
      <c r="N28" s="29">
        <f t="shared" si="22"/>
        <v>114000</v>
      </c>
      <c r="P28" s="73" t="s">
        <v>10</v>
      </c>
      <c r="Q28" s="30">
        <f t="shared" si="23"/>
        <v>95</v>
      </c>
      <c r="R28" s="29">
        <v>105</v>
      </c>
      <c r="S28" s="29">
        <v>85</v>
      </c>
      <c r="T28" s="29">
        <v>285</v>
      </c>
      <c r="V28" s="44"/>
      <c r="W28" s="44"/>
      <c r="X28" s="44"/>
      <c r="Y28" s="44"/>
      <c r="Z28" s="3"/>
      <c r="AA28" s="3"/>
      <c r="AB28" s="3"/>
      <c r="AD28" s="3"/>
      <c r="AN28" s="3"/>
    </row>
    <row r="29" spans="1:53" ht="17.25" customHeight="1" x14ac:dyDescent="0.25">
      <c r="A29" s="64" t="s">
        <v>39</v>
      </c>
      <c r="B29" s="294"/>
      <c r="C29" s="257"/>
      <c r="D29" s="257"/>
      <c r="E29" s="257"/>
      <c r="F29" s="257"/>
      <c r="G29" s="257"/>
      <c r="H29" s="257"/>
      <c r="I29" s="258"/>
      <c r="K29" s="9" t="s">
        <v>11</v>
      </c>
      <c r="L29" s="33">
        <f t="shared" si="20"/>
        <v>69000</v>
      </c>
      <c r="M29" s="30">
        <f t="shared" si="21"/>
        <v>89700</v>
      </c>
      <c r="N29" s="29">
        <f t="shared" si="22"/>
        <v>117300</v>
      </c>
      <c r="P29" s="73" t="s">
        <v>11</v>
      </c>
      <c r="Q29" s="61">
        <f t="shared" si="23"/>
        <v>115</v>
      </c>
      <c r="R29" s="36">
        <v>120</v>
      </c>
      <c r="S29" s="36">
        <v>55</v>
      </c>
      <c r="T29" s="36">
        <v>290</v>
      </c>
      <c r="V29" s="44"/>
      <c r="W29" s="44"/>
      <c r="X29" s="44"/>
      <c r="Y29" s="44"/>
      <c r="AD29" s="3"/>
      <c r="AN29" s="3"/>
    </row>
    <row r="30" spans="1:53" ht="17.25" customHeight="1" x14ac:dyDescent="0.25">
      <c r="A30" s="64" t="s">
        <v>40</v>
      </c>
      <c r="B30" s="265">
        <v>0</v>
      </c>
      <c r="C30" s="258"/>
      <c r="D30" s="295">
        <f>D46*8*12</f>
        <v>43200</v>
      </c>
      <c r="E30" s="258"/>
      <c r="F30" s="265">
        <f>D46*8*12</f>
        <v>43200</v>
      </c>
      <c r="G30" s="258"/>
      <c r="H30" s="265">
        <f>D46*8*12</f>
        <v>43200</v>
      </c>
      <c r="I30" s="258"/>
      <c r="K30" s="39" t="s">
        <v>18</v>
      </c>
      <c r="L30" s="74">
        <f t="shared" ref="L30:N30" si="24">SUM(L24:L29)</f>
        <v>786300</v>
      </c>
      <c r="M30" s="75">
        <f t="shared" si="24"/>
        <v>1106100</v>
      </c>
      <c r="N30" s="76">
        <f t="shared" si="24"/>
        <v>1659600</v>
      </c>
      <c r="V30" s="44"/>
      <c r="W30" s="44"/>
      <c r="X30" s="44"/>
      <c r="Y30" s="44"/>
      <c r="AD30" s="3"/>
      <c r="AN30" s="3"/>
    </row>
    <row r="31" spans="1:53" ht="17.25" customHeight="1" x14ac:dyDescent="0.25">
      <c r="A31" s="64" t="s">
        <v>41</v>
      </c>
      <c r="B31" s="265">
        <v>0</v>
      </c>
      <c r="C31" s="258"/>
      <c r="D31" s="292">
        <f>D47*12*8</f>
        <v>43860</v>
      </c>
      <c r="E31" s="293"/>
      <c r="F31" s="265">
        <f>D47*12*8</f>
        <v>43860</v>
      </c>
      <c r="G31" s="258"/>
      <c r="H31" s="265">
        <f>D47*12*8</f>
        <v>43860</v>
      </c>
      <c r="I31" s="258"/>
      <c r="L31" s="42"/>
      <c r="M31" s="42"/>
      <c r="N31" s="42"/>
      <c r="AD31" s="3"/>
      <c r="AN31" s="3"/>
    </row>
    <row r="32" spans="1:53" ht="17.25" customHeight="1" x14ac:dyDescent="0.25">
      <c r="A32" s="64" t="s">
        <v>42</v>
      </c>
      <c r="B32" s="265">
        <v>0</v>
      </c>
      <c r="C32" s="258"/>
      <c r="D32" s="297">
        <v>4.45</v>
      </c>
      <c r="E32" s="298"/>
      <c r="F32" s="265">
        <v>6.5</v>
      </c>
      <c r="G32" s="258"/>
      <c r="H32" s="265">
        <v>6.5</v>
      </c>
      <c r="I32" s="258"/>
      <c r="K32" s="299"/>
      <c r="L32" s="300" t="s">
        <v>43</v>
      </c>
      <c r="M32" s="257"/>
      <c r="N32" s="258"/>
      <c r="AD32" s="3"/>
      <c r="AN32" s="3"/>
    </row>
    <row r="33" spans="1:53" ht="17.25" customHeight="1" x14ac:dyDescent="0.25">
      <c r="A33" s="64" t="s">
        <v>44</v>
      </c>
      <c r="B33" s="297">
        <v>4.45</v>
      </c>
      <c r="C33" s="298"/>
      <c r="D33" s="264"/>
      <c r="E33" s="305"/>
      <c r="F33" s="264"/>
      <c r="G33" s="258"/>
      <c r="H33" s="264"/>
      <c r="I33" s="258"/>
      <c r="K33" s="284"/>
      <c r="L33" s="45" t="s">
        <v>13</v>
      </c>
      <c r="M33" s="45" t="s">
        <v>14</v>
      </c>
      <c r="N33" s="45" t="s">
        <v>15</v>
      </c>
      <c r="AD33" s="3"/>
      <c r="AN33" s="3"/>
    </row>
    <row r="34" spans="1:53" ht="17.25" customHeight="1" x14ac:dyDescent="0.25">
      <c r="A34" s="77" t="s">
        <v>45</v>
      </c>
      <c r="B34" s="306">
        <f>SUM(B20:B33)</f>
        <v>611004.44999999995</v>
      </c>
      <c r="C34" s="305"/>
      <c r="D34" s="307">
        <f>SUM(D20:D32)</f>
        <v>2296533.7502767178</v>
      </c>
      <c r="E34" s="258"/>
      <c r="F34" s="296">
        <f>SUM(F20:F33)</f>
        <v>2847977.6231149542</v>
      </c>
      <c r="G34" s="287"/>
      <c r="H34" s="296">
        <f>SUM(H20:H32)</f>
        <v>3782281.534534567</v>
      </c>
      <c r="I34" s="287"/>
      <c r="K34" s="78" t="s">
        <v>46</v>
      </c>
      <c r="L34" s="79">
        <f t="shared" ref="L34:N34" si="25">L10</f>
        <v>2152800</v>
      </c>
      <c r="M34" s="80">
        <f t="shared" si="25"/>
        <v>3028800</v>
      </c>
      <c r="N34" s="80">
        <f t="shared" si="25"/>
        <v>4521600</v>
      </c>
      <c r="AD34" s="3"/>
      <c r="AN34" s="3"/>
    </row>
    <row r="35" spans="1:53" ht="17.25" customHeight="1" x14ac:dyDescent="0.25">
      <c r="K35" s="81" t="s">
        <v>47</v>
      </c>
      <c r="L35" s="82">
        <f>D34+B34</f>
        <v>2907538.2002767175</v>
      </c>
      <c r="M35" s="83">
        <f>F34</f>
        <v>2847977.6231149542</v>
      </c>
      <c r="N35" s="83">
        <f>H34</f>
        <v>3782281.534534567</v>
      </c>
      <c r="O35" s="84"/>
      <c r="AD35" s="3"/>
      <c r="AN35" s="3"/>
    </row>
    <row r="36" spans="1:53" ht="17.25" customHeight="1" x14ac:dyDescent="0.25">
      <c r="A36" s="308" t="s">
        <v>48</v>
      </c>
      <c r="B36" s="257"/>
      <c r="C36" s="258"/>
      <c r="D36" s="308" t="s">
        <v>49</v>
      </c>
      <c r="E36" s="257"/>
      <c r="F36" s="257"/>
      <c r="G36" s="258"/>
      <c r="K36" s="81" t="s">
        <v>50</v>
      </c>
      <c r="L36" s="85">
        <f t="shared" ref="L36:N36" si="26">L34-L35</f>
        <v>-754738.20027671754</v>
      </c>
      <c r="M36" s="85">
        <f t="shared" si="26"/>
        <v>180822.37688504579</v>
      </c>
      <c r="N36" s="85">
        <f t="shared" si="26"/>
        <v>739318.46546543296</v>
      </c>
    </row>
    <row r="37" spans="1:53" ht="13.2" x14ac:dyDescent="0.25">
      <c r="A37" s="86" t="s">
        <v>51</v>
      </c>
      <c r="B37" s="301" t="s">
        <v>52</v>
      </c>
      <c r="C37" s="258"/>
      <c r="D37" s="301" t="s">
        <v>53</v>
      </c>
      <c r="E37" s="257"/>
      <c r="F37" s="301" t="s">
        <v>54</v>
      </c>
      <c r="G37" s="258"/>
      <c r="K37" s="81" t="s">
        <v>55</v>
      </c>
      <c r="L37" s="302">
        <f>L36+M36+N36</f>
        <v>165402.64207376121</v>
      </c>
      <c r="M37" s="303"/>
      <c r="N37" s="304"/>
      <c r="P37" s="87"/>
    </row>
    <row r="38" spans="1:53" ht="13.8" x14ac:dyDescent="0.25">
      <c r="A38" s="88">
        <v>361000</v>
      </c>
      <c r="B38" s="279">
        <v>200000</v>
      </c>
      <c r="C38" s="258"/>
      <c r="D38" s="280">
        <v>2125</v>
      </c>
      <c r="E38" s="281"/>
      <c r="F38" s="282">
        <v>2100</v>
      </c>
      <c r="G38" s="258"/>
    </row>
    <row r="39" spans="1:53" ht="13.2" x14ac:dyDescent="0.25">
      <c r="A39" s="283" t="s">
        <v>56</v>
      </c>
      <c r="B39" s="285">
        <f>SUM(A38:C38)</f>
        <v>561000</v>
      </c>
      <c r="C39" s="263"/>
      <c r="D39" s="274" t="s">
        <v>57</v>
      </c>
      <c r="E39" s="257"/>
      <c r="F39" s="288">
        <f>SUM(D38:G38)</f>
        <v>4225</v>
      </c>
      <c r="G39" s="258"/>
    </row>
    <row r="40" spans="1:53" ht="13.2" x14ac:dyDescent="0.25">
      <c r="A40" s="284"/>
      <c r="B40" s="286"/>
      <c r="C40" s="287"/>
      <c r="D40" s="274" t="s">
        <v>58</v>
      </c>
      <c r="E40" s="257"/>
      <c r="F40" s="275">
        <f>F39*12</f>
        <v>50700</v>
      </c>
      <c r="G40" s="258"/>
    </row>
    <row r="41" spans="1:53" ht="13.8" x14ac:dyDescent="0.25">
      <c r="K41" s="276" t="s">
        <v>59</v>
      </c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8"/>
    </row>
    <row r="42" spans="1:53" ht="13.2" x14ac:dyDescent="0.25">
      <c r="H42" s="89"/>
      <c r="I42" s="89"/>
      <c r="J42" s="89"/>
      <c r="K42" s="90">
        <v>1</v>
      </c>
      <c r="L42" s="90">
        <v>2</v>
      </c>
      <c r="M42" s="90">
        <v>3</v>
      </c>
      <c r="N42" s="90">
        <v>4</v>
      </c>
      <c r="O42" s="90">
        <v>5</v>
      </c>
      <c r="P42" s="90">
        <v>6</v>
      </c>
      <c r="Q42" s="90">
        <v>7</v>
      </c>
      <c r="R42" s="90">
        <v>8</v>
      </c>
      <c r="S42" s="90">
        <v>9</v>
      </c>
      <c r="T42" s="90">
        <v>10</v>
      </c>
      <c r="U42" s="90">
        <v>11</v>
      </c>
      <c r="V42" s="90">
        <v>12</v>
      </c>
      <c r="W42" s="91" t="s">
        <v>45</v>
      </c>
    </row>
    <row r="43" spans="1:53" ht="13.2" x14ac:dyDescent="0.25">
      <c r="H43" s="89"/>
      <c r="I43" s="89"/>
      <c r="J43" s="89"/>
      <c r="K43" s="76">
        <f>T24*B4+T25*C4+D4*T26+T27*E4+F4*T28+T29*G4</f>
        <v>144465</v>
      </c>
      <c r="L43" s="76">
        <f>T24*B5+T25*C5+T26*D5+T27*E5+T28*F5+T29*G5</f>
        <v>151630</v>
      </c>
      <c r="M43" s="76">
        <f>T24*B6+T25*C6+T26*D6+T27*E6+T28*F6+T29*G6</f>
        <v>158675</v>
      </c>
      <c r="N43" s="76">
        <f>T24*B7+T25*C7+D7*T26+T27*E7+F7*T28+T29*G7</f>
        <v>164945</v>
      </c>
      <c r="O43" s="76">
        <f>B8*T24+C8*T25+D8*T26+E8*T27+F8*T28+G8*T29</f>
        <v>169405</v>
      </c>
      <c r="P43" s="76">
        <f>B9*T24+C9*T25+D9*T26+E9*T27+F9*T28+G9*T29</f>
        <v>204785</v>
      </c>
      <c r="Q43" s="76">
        <f>B10*T24+C10*T25+D10*T26+E10*T27+F10*T28+G10*T29</f>
        <v>195110</v>
      </c>
      <c r="R43" s="76">
        <f>B11*T24+C11*T25+D11*T26+E11*T27+F11*T28+G11*T29</f>
        <v>171805</v>
      </c>
      <c r="S43" s="76">
        <f>B12*T24+C12*T25+D12*T26+E12*T27+F12*T28+G12*T29</f>
        <v>168825</v>
      </c>
      <c r="T43" s="76">
        <f>B13*T24+C13*T25+D13*T26+E13*T27+F13*T28+G13*T29</f>
        <v>185955</v>
      </c>
      <c r="U43" s="76">
        <f>B14*T24+C14*T25+D14*T26+E14*T27+F14*T28+G14*T29</f>
        <v>213960</v>
      </c>
      <c r="V43" s="76">
        <f>B15*T24+C15*T25+D15*T26+E15*T27+F15*T28+G15*T29</f>
        <v>223240</v>
      </c>
      <c r="W43" s="92">
        <f>SUM(K43:V43)</f>
        <v>2152800</v>
      </c>
    </row>
    <row r="44" spans="1:53" ht="13.8" x14ac:dyDescent="0.25">
      <c r="A44" s="277"/>
      <c r="B44" s="261"/>
      <c r="C44" s="261"/>
      <c r="D44" s="93" t="s">
        <v>60</v>
      </c>
      <c r="E44" s="93" t="s">
        <v>61</v>
      </c>
      <c r="F44" s="94" t="s">
        <v>62</v>
      </c>
      <c r="H44" s="95"/>
      <c r="I44" s="95"/>
      <c r="J44" s="95"/>
      <c r="K44" s="42"/>
      <c r="L44" s="42"/>
      <c r="M44" s="42"/>
      <c r="N44" s="33"/>
      <c r="O44" s="42"/>
      <c r="P44" s="33"/>
      <c r="Q44" s="33"/>
      <c r="R44" s="33"/>
      <c r="S44" s="33"/>
      <c r="T44" s="33"/>
      <c r="U44" s="42"/>
      <c r="V44" s="42"/>
      <c r="W44" s="42"/>
    </row>
    <row r="45" spans="1:53" ht="17.25" customHeight="1" x14ac:dyDescent="0.25">
      <c r="A45" s="278" t="s">
        <v>63</v>
      </c>
      <c r="B45" s="257"/>
      <c r="C45" s="258"/>
      <c r="D45" s="17"/>
      <c r="E45" s="17"/>
      <c r="F45" s="17"/>
      <c r="K45" s="276" t="s">
        <v>64</v>
      </c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8"/>
      <c r="AE45" s="3"/>
      <c r="AF45" s="3"/>
      <c r="AG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3.8" x14ac:dyDescent="0.25">
      <c r="A46" s="278" t="s">
        <v>65</v>
      </c>
      <c r="B46" s="257"/>
      <c r="C46" s="258"/>
      <c r="D46" s="17">
        <v>450</v>
      </c>
      <c r="E46" s="17">
        <f>D46*8</f>
        <v>3600</v>
      </c>
      <c r="F46" s="96">
        <f>E46*12</f>
        <v>43200</v>
      </c>
      <c r="K46" s="41">
        <v>1</v>
      </c>
      <c r="L46" s="41">
        <v>2</v>
      </c>
      <c r="M46" s="41">
        <v>3</v>
      </c>
      <c r="N46" s="41">
        <v>4</v>
      </c>
      <c r="O46" s="41">
        <v>5</v>
      </c>
      <c r="P46" s="41">
        <v>6</v>
      </c>
      <c r="Q46" s="41">
        <v>7</v>
      </c>
      <c r="R46" s="41">
        <v>8</v>
      </c>
      <c r="S46" s="41">
        <v>9</v>
      </c>
      <c r="T46" s="41">
        <v>10</v>
      </c>
      <c r="U46" s="41">
        <v>11</v>
      </c>
      <c r="V46" s="41">
        <v>12</v>
      </c>
      <c r="W46" s="97" t="s">
        <v>45</v>
      </c>
      <c r="AD46" s="3"/>
      <c r="AE46" s="3"/>
      <c r="AF46" s="3"/>
      <c r="AG46" s="3"/>
      <c r="AH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3.8" x14ac:dyDescent="0.25">
      <c r="A47" s="278" t="s">
        <v>66</v>
      </c>
      <c r="B47" s="257"/>
      <c r="C47" s="258"/>
      <c r="D47" s="17">
        <f>E47/8</f>
        <v>456.875</v>
      </c>
      <c r="E47" s="17">
        <f>F47/12</f>
        <v>3655</v>
      </c>
      <c r="F47" s="98">
        <f>AMORTIZACION!C10</f>
        <v>43860</v>
      </c>
      <c r="K47" s="76">
        <f>B4*S24+C4*S25+D4*S26+E4*S27+F4*S28+G4*S29</f>
        <v>27480</v>
      </c>
      <c r="L47" s="76">
        <f>B5*S24+C5*S25+D5*S26+E5*S27+F5*S28+G5*S29</f>
        <v>28970</v>
      </c>
      <c r="M47" s="76">
        <f>B6*S24+C6*S25+D6*S26+E6*S27+F6*S28+G6*S29</f>
        <v>30590</v>
      </c>
      <c r="N47" s="76">
        <f>B7*S24+C7*S25+D7*S26+E7*S27+F7*S28+G7*S29</f>
        <v>31795</v>
      </c>
      <c r="O47" s="76">
        <f>B8*S24+C8*S25+D8*S26+E8*S27+F8*S28+G8*S29</f>
        <v>32890</v>
      </c>
      <c r="P47" s="76">
        <f>B9*S24+C9*S25+D9*S26+E9*S27+F9*S28+G9*S29</f>
        <v>39185</v>
      </c>
      <c r="Q47" s="76">
        <f>B10*S24+C10*S25+D10*S26+E10*S27+F10*S28+G10*S29</f>
        <v>37105</v>
      </c>
      <c r="R47" s="76">
        <f>B11*S24+C11*S25+D11*S26+E11*S27+F11*S28+G11*S29</f>
        <v>32905</v>
      </c>
      <c r="S47" s="76">
        <f>B12*S24+C12*S25+D12*S26+E12*S27+F12*S28+G12*S29</f>
        <v>32230</v>
      </c>
      <c r="T47" s="76">
        <f>B13*S24+C13*S25+D13*S26+E13*S27+F13*S28+G13*S29</f>
        <v>35545</v>
      </c>
      <c r="U47" s="76">
        <f>B14*S24+C14*S25+D14*S26+E14*S27+F14*S28+G14*S29</f>
        <v>41020</v>
      </c>
      <c r="V47" s="76">
        <f>B15*S24+C15*S25+D15*S26+E15*S27+F15*S28+G15*S29</f>
        <v>42785</v>
      </c>
      <c r="W47" s="99">
        <f>SUM(K47:V47)</f>
        <v>412500</v>
      </c>
      <c r="AE47" s="3"/>
      <c r="AF47" s="3"/>
      <c r="AG47" s="3"/>
    </row>
    <row r="48" spans="1:53" ht="13.2" x14ac:dyDescent="0.25">
      <c r="K48" s="42"/>
      <c r="L48" s="42"/>
      <c r="M48" s="42"/>
      <c r="N48" s="33"/>
      <c r="O48" s="42"/>
      <c r="P48" s="33"/>
      <c r="Q48" s="33"/>
      <c r="R48" s="33"/>
      <c r="S48" s="33"/>
      <c r="T48" s="33"/>
      <c r="U48" s="42"/>
      <c r="V48" s="42"/>
      <c r="W48" s="42"/>
      <c r="AE48" s="3"/>
      <c r="AF48" s="3"/>
      <c r="AG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3.8" x14ac:dyDescent="0.25">
      <c r="K49" s="276" t="s">
        <v>67</v>
      </c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8"/>
      <c r="AE49" s="3"/>
      <c r="AF49" s="3"/>
      <c r="AG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26.4" x14ac:dyDescent="0.25">
      <c r="A50" s="4"/>
      <c r="B50" s="100" t="s">
        <v>68</v>
      </c>
      <c r="C50" s="101" t="s">
        <v>69</v>
      </c>
      <c r="D50" s="101" t="s">
        <v>70</v>
      </c>
      <c r="E50" s="101" t="s">
        <v>71</v>
      </c>
      <c r="F50" s="101" t="s">
        <v>72</v>
      </c>
      <c r="G50" s="101" t="s">
        <v>73</v>
      </c>
      <c r="K50" s="41">
        <v>1</v>
      </c>
      <c r="L50" s="41">
        <v>2</v>
      </c>
      <c r="M50" s="41">
        <v>3</v>
      </c>
      <c r="N50" s="41">
        <v>4</v>
      </c>
      <c r="O50" s="41">
        <v>5</v>
      </c>
      <c r="P50" s="41">
        <v>6</v>
      </c>
      <c r="Q50" s="41">
        <v>7</v>
      </c>
      <c r="R50" s="41">
        <v>8</v>
      </c>
      <c r="S50" s="41">
        <v>9</v>
      </c>
      <c r="T50" s="41">
        <v>10</v>
      </c>
      <c r="U50" s="41">
        <v>11</v>
      </c>
      <c r="V50" s="41">
        <v>12</v>
      </c>
      <c r="W50" s="97" t="s">
        <v>45</v>
      </c>
      <c r="AE50" s="3"/>
      <c r="AF50" s="3"/>
      <c r="AG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3.2" x14ac:dyDescent="0.25">
      <c r="A51" s="102" t="s">
        <v>74</v>
      </c>
      <c r="B51" s="103">
        <v>1800</v>
      </c>
      <c r="C51" s="103">
        <v>2</v>
      </c>
      <c r="D51" s="103">
        <f t="shared" ref="D51:D57" si="27">B51*C51</f>
        <v>3600</v>
      </c>
      <c r="E51" s="103">
        <f t="shared" ref="E51:E57" si="28">D51*12</f>
        <v>43200</v>
      </c>
      <c r="F51" s="103">
        <f t="shared" ref="F51:F57" si="29">D51*12</f>
        <v>43200</v>
      </c>
      <c r="G51" s="103">
        <f t="shared" ref="G51:G57" si="30">D51*12</f>
        <v>43200</v>
      </c>
      <c r="K51" s="76">
        <f>B4*R24+C4*R25+D4*R26+E4*R27+F4*R28+G4*R29</f>
        <v>64025</v>
      </c>
      <c r="L51" s="76">
        <f>B5*R24+C5*R25+D5*R26+E5*R27+F5*R28+G5*R29</f>
        <v>67175</v>
      </c>
      <c r="M51" s="76">
        <f>B6*R24+C6*R25+D6*R26+E6*R27+F6*R28+G6*R29</f>
        <v>70205</v>
      </c>
      <c r="N51" s="76">
        <f>B7*R24+C7*R25+D7*R26+E7*R27+F7*R28+G7*R29</f>
        <v>73000</v>
      </c>
      <c r="O51" s="104">
        <f>B8*R24+C8*R25+D8*R26+E8*R27+F8*R28+G8*R29</f>
        <v>74825</v>
      </c>
      <c r="P51" s="76">
        <f>B9*R24+C9*R25+D9*R26+E9*R27+F9*R28+G9*R29</f>
        <v>90735</v>
      </c>
      <c r="Q51" s="76">
        <f>B10*R24+C10*R25+D10*R26+E10*R27+F10*R28+G10*R29</f>
        <v>86465</v>
      </c>
      <c r="R51" s="76">
        <f>B11*R24+C11*R25+D11*R26+E11*R27+F11*R28+G11*R29</f>
        <v>76255</v>
      </c>
      <c r="S51" s="76">
        <f>B12*R24+C12*R25+D12*R26+E12*R27+F12*R28+G12*R29</f>
        <v>74630</v>
      </c>
      <c r="T51" s="76">
        <f>B13*R24+C13*R25+D13*R26+E13*R27+F13*R28+G13*R29</f>
        <v>82550</v>
      </c>
      <c r="U51" s="104">
        <f>B14*R24+C14*R25+D14*R26+E14*R27+F14*R28+G14*R29</f>
        <v>95040</v>
      </c>
      <c r="V51" s="104">
        <f>B15*R24+C15*R25+D15*R26+E15*R27+F15*R28+G15*R29</f>
        <v>99095</v>
      </c>
      <c r="W51" s="105">
        <f>SUM(K51:V51)</f>
        <v>954000</v>
      </c>
      <c r="AE51" s="3"/>
      <c r="AF51" s="3"/>
      <c r="AG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ht="13.2" x14ac:dyDescent="0.25">
      <c r="A52" s="106" t="s">
        <v>75</v>
      </c>
      <c r="B52" s="103">
        <v>1800</v>
      </c>
      <c r="C52" s="103">
        <v>2</v>
      </c>
      <c r="D52" s="103">
        <f t="shared" si="27"/>
        <v>3600</v>
      </c>
      <c r="E52" s="103">
        <f t="shared" si="28"/>
        <v>43200</v>
      </c>
      <c r="F52" s="103">
        <f t="shared" si="29"/>
        <v>43200</v>
      </c>
      <c r="G52" s="103">
        <f t="shared" si="30"/>
        <v>43200</v>
      </c>
      <c r="AE52" s="3"/>
      <c r="AF52" s="3"/>
      <c r="AG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ht="13.8" x14ac:dyDescent="0.25">
      <c r="A53" s="106" t="s">
        <v>76</v>
      </c>
      <c r="B53" s="103">
        <v>2000</v>
      </c>
      <c r="C53" s="103">
        <v>1</v>
      </c>
      <c r="D53" s="103">
        <f t="shared" si="27"/>
        <v>2000</v>
      </c>
      <c r="E53" s="103">
        <f t="shared" si="28"/>
        <v>24000</v>
      </c>
      <c r="F53" s="103">
        <f t="shared" si="29"/>
        <v>24000</v>
      </c>
      <c r="G53" s="103">
        <f t="shared" si="30"/>
        <v>24000</v>
      </c>
      <c r="K53" s="276" t="s">
        <v>77</v>
      </c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8"/>
      <c r="AE53" s="3"/>
      <c r="AF53" s="3"/>
      <c r="AG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3.2" x14ac:dyDescent="0.25">
      <c r="A54" s="106" t="s">
        <v>78</v>
      </c>
      <c r="B54" s="103">
        <v>1600</v>
      </c>
      <c r="C54" s="103">
        <v>1</v>
      </c>
      <c r="D54" s="103">
        <f t="shared" si="27"/>
        <v>1600</v>
      </c>
      <c r="E54" s="103">
        <f t="shared" si="28"/>
        <v>19200</v>
      </c>
      <c r="F54" s="103">
        <f t="shared" si="29"/>
        <v>19200</v>
      </c>
      <c r="G54" s="103">
        <f t="shared" si="30"/>
        <v>19200</v>
      </c>
      <c r="K54" s="41">
        <v>1</v>
      </c>
      <c r="L54" s="41">
        <v>2</v>
      </c>
      <c r="M54" s="41">
        <v>3</v>
      </c>
      <c r="N54" s="41">
        <v>4</v>
      </c>
      <c r="O54" s="41">
        <v>5</v>
      </c>
      <c r="P54" s="41">
        <v>6</v>
      </c>
      <c r="Q54" s="41">
        <v>7</v>
      </c>
      <c r="R54" s="41">
        <v>8</v>
      </c>
      <c r="S54" s="41">
        <v>9</v>
      </c>
      <c r="T54" s="41">
        <v>10</v>
      </c>
      <c r="U54" s="41">
        <v>11</v>
      </c>
      <c r="V54" s="41">
        <v>12</v>
      </c>
      <c r="W54" s="97" t="s">
        <v>45</v>
      </c>
      <c r="AE54" s="3"/>
      <c r="AF54" s="3"/>
      <c r="AG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3.2" x14ac:dyDescent="0.25">
      <c r="A55" s="106" t="s">
        <v>79</v>
      </c>
      <c r="B55" s="103">
        <v>1600</v>
      </c>
      <c r="C55" s="103">
        <v>4</v>
      </c>
      <c r="D55" s="103">
        <f t="shared" si="27"/>
        <v>6400</v>
      </c>
      <c r="E55" s="103">
        <f t="shared" si="28"/>
        <v>76800</v>
      </c>
      <c r="F55" s="103">
        <f t="shared" si="29"/>
        <v>76800</v>
      </c>
      <c r="G55" s="103">
        <f t="shared" si="30"/>
        <v>76800</v>
      </c>
      <c r="K55" s="76">
        <f t="shared" ref="K55:V55" si="31">K43-(K47+K51)</f>
        <v>52960</v>
      </c>
      <c r="L55" s="76">
        <f t="shared" si="31"/>
        <v>55485</v>
      </c>
      <c r="M55" s="76">
        <f t="shared" si="31"/>
        <v>57880</v>
      </c>
      <c r="N55" s="76">
        <f t="shared" si="31"/>
        <v>60150</v>
      </c>
      <c r="O55" s="76">
        <f t="shared" si="31"/>
        <v>61690</v>
      </c>
      <c r="P55" s="76">
        <f t="shared" si="31"/>
        <v>74865</v>
      </c>
      <c r="Q55" s="76">
        <f t="shared" si="31"/>
        <v>71540</v>
      </c>
      <c r="R55" s="76">
        <f t="shared" si="31"/>
        <v>62645</v>
      </c>
      <c r="S55" s="76">
        <f t="shared" si="31"/>
        <v>61965</v>
      </c>
      <c r="T55" s="76">
        <f t="shared" si="31"/>
        <v>67860</v>
      </c>
      <c r="U55" s="76">
        <f t="shared" si="31"/>
        <v>77900</v>
      </c>
      <c r="V55" s="76">
        <f t="shared" si="31"/>
        <v>81360</v>
      </c>
      <c r="W55" s="107">
        <f>SUM(K55:V55)</f>
        <v>786300</v>
      </c>
      <c r="AB55" s="3"/>
      <c r="AC55" s="3"/>
      <c r="AE55" s="3"/>
      <c r="AF55" s="3"/>
      <c r="AG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3.2" x14ac:dyDescent="0.25">
      <c r="A56" s="106" t="s">
        <v>80</v>
      </c>
      <c r="B56" s="103">
        <v>1800</v>
      </c>
      <c r="C56" s="103">
        <v>16</v>
      </c>
      <c r="D56" s="103">
        <f t="shared" si="27"/>
        <v>28800</v>
      </c>
      <c r="E56" s="103">
        <f t="shared" si="28"/>
        <v>345600</v>
      </c>
      <c r="F56" s="103">
        <f t="shared" si="29"/>
        <v>345600</v>
      </c>
      <c r="G56" s="103">
        <f t="shared" si="30"/>
        <v>345600</v>
      </c>
      <c r="AB56" s="3"/>
      <c r="AC56" s="3"/>
      <c r="AD56" s="3"/>
      <c r="AE56" s="3"/>
      <c r="AF56" s="3"/>
      <c r="AG56" s="3"/>
      <c r="AH56" s="3"/>
      <c r="AJ56" s="3"/>
      <c r="AK56" s="3"/>
      <c r="AL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3.2" x14ac:dyDescent="0.25">
      <c r="A57" s="106" t="s">
        <v>81</v>
      </c>
      <c r="B57" s="103">
        <v>2000</v>
      </c>
      <c r="C57" s="103">
        <v>5</v>
      </c>
      <c r="D57" s="103">
        <f t="shared" si="27"/>
        <v>10000</v>
      </c>
      <c r="E57" s="103">
        <f t="shared" si="28"/>
        <v>120000</v>
      </c>
      <c r="F57" s="103">
        <f t="shared" si="29"/>
        <v>120000</v>
      </c>
      <c r="G57" s="103">
        <f t="shared" si="30"/>
        <v>120000</v>
      </c>
      <c r="AB57" s="3"/>
      <c r="AC57" s="3"/>
      <c r="AD57" s="3"/>
      <c r="AE57" s="3"/>
      <c r="AF57" s="3"/>
      <c r="AG57" s="3"/>
      <c r="AH57" s="3"/>
      <c r="AJ57" s="3"/>
      <c r="AK57" s="3"/>
      <c r="AL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3.2" x14ac:dyDescent="0.25">
      <c r="A58" s="108" t="s">
        <v>82</v>
      </c>
      <c r="C58" s="76">
        <f t="shared" ref="C58:G58" si="32">SUM(C51:C57)</f>
        <v>31</v>
      </c>
      <c r="D58" s="76">
        <f t="shared" si="32"/>
        <v>56000</v>
      </c>
      <c r="E58" s="109">
        <f t="shared" si="32"/>
        <v>672000</v>
      </c>
      <c r="F58" s="76">
        <f t="shared" si="32"/>
        <v>672000</v>
      </c>
      <c r="G58" s="76">
        <f t="shared" si="32"/>
        <v>672000</v>
      </c>
      <c r="AB58" s="3"/>
      <c r="AC58" s="3"/>
      <c r="AD58" s="3"/>
      <c r="AE58" s="3"/>
      <c r="AF58" s="3"/>
      <c r="AG58" s="3"/>
      <c r="AH58" s="3"/>
      <c r="AJ58" s="3"/>
      <c r="AK58" s="3"/>
      <c r="AL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3.2" x14ac:dyDescent="0.25">
      <c r="AB59" s="3"/>
      <c r="AC59" s="3"/>
      <c r="AD59" s="3"/>
      <c r="AE59" s="3"/>
      <c r="AF59" s="3"/>
      <c r="AG59" s="3"/>
      <c r="AH59" s="3"/>
      <c r="AJ59" s="3"/>
      <c r="AK59" s="3"/>
      <c r="AL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3.2" x14ac:dyDescent="0.25">
      <c r="AB60" s="2"/>
      <c r="AC60" s="2"/>
      <c r="AD60" s="2"/>
      <c r="AF60" s="3"/>
      <c r="AG60" s="3"/>
      <c r="AH60" s="3"/>
      <c r="AJ60" s="3"/>
      <c r="AK60" s="3"/>
      <c r="AL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3.2" x14ac:dyDescent="0.25">
      <c r="AB61" s="2"/>
      <c r="AC61" s="2"/>
      <c r="AD61" s="2"/>
      <c r="AF61" s="3"/>
      <c r="AG61" s="3"/>
      <c r="AH61" s="3"/>
      <c r="AJ61" s="3"/>
      <c r="AK61" s="3"/>
      <c r="AL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3.2" x14ac:dyDescent="0.25">
      <c r="AB62" s="2"/>
      <c r="AC62" s="2"/>
      <c r="AD62" s="2"/>
      <c r="AF62" s="3"/>
      <c r="AG62" s="3"/>
      <c r="AH62" s="3"/>
      <c r="AJ62" s="3"/>
      <c r="AK62" s="3"/>
      <c r="AL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3.2" x14ac:dyDescent="0.25">
      <c r="H63" s="3"/>
      <c r="I63" s="3"/>
      <c r="J63" s="3"/>
      <c r="AB63" s="2"/>
      <c r="AC63" s="2"/>
      <c r="AD63" s="2"/>
      <c r="AF63" s="3"/>
      <c r="AG63" s="3"/>
      <c r="AH63" s="3"/>
      <c r="AJ63" s="3"/>
      <c r="AK63" s="3"/>
      <c r="AL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3.2" x14ac:dyDescent="0.25">
      <c r="H64" s="3"/>
      <c r="I64" s="3"/>
      <c r="J64" s="3"/>
      <c r="AB64" s="2"/>
      <c r="AC64" s="2"/>
      <c r="AD64" s="2"/>
      <c r="AF64" s="3"/>
      <c r="AG64" s="3"/>
      <c r="AH64" s="3"/>
      <c r="AJ64" s="3"/>
      <c r="AK64" s="3"/>
      <c r="AL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8:53" ht="13.2" x14ac:dyDescent="0.25">
      <c r="H65" s="3"/>
      <c r="I65" s="3"/>
      <c r="J65" s="3"/>
      <c r="AB65" s="2"/>
      <c r="AC65" s="2"/>
      <c r="AD65" s="2"/>
      <c r="AF65" s="3"/>
      <c r="AG65" s="3"/>
      <c r="AH65" s="3"/>
      <c r="AJ65" s="3"/>
      <c r="AK65" s="3"/>
      <c r="AL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8:53" ht="13.2" x14ac:dyDescent="0.25">
      <c r="H66" s="3"/>
      <c r="I66" s="3"/>
      <c r="J66" s="3"/>
      <c r="AB66" s="2"/>
      <c r="AC66" s="2"/>
      <c r="AD66" s="2"/>
      <c r="AF66" s="3"/>
      <c r="AG66" s="3"/>
      <c r="AH66" s="3"/>
      <c r="AJ66" s="3"/>
      <c r="AK66" s="3"/>
      <c r="AL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8:53" ht="13.2" x14ac:dyDescent="0.25">
      <c r="H67" s="3"/>
      <c r="I67" s="3"/>
      <c r="J67" s="3"/>
      <c r="AB67" s="2"/>
      <c r="AC67" s="2"/>
      <c r="AD67" s="2"/>
      <c r="AF67" s="3"/>
      <c r="AG67" s="3"/>
      <c r="AH67" s="3"/>
      <c r="AJ67" s="3"/>
      <c r="AK67" s="3"/>
      <c r="AL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8:53" ht="13.2" x14ac:dyDescent="0.25">
      <c r="H68" s="3"/>
      <c r="I68" s="3"/>
      <c r="J68" s="3"/>
      <c r="AB68" s="2"/>
      <c r="AC68" s="2"/>
      <c r="AD68" s="2"/>
      <c r="AF68" s="3"/>
      <c r="AG68" s="3"/>
      <c r="AH68" s="3"/>
      <c r="AJ68" s="3"/>
      <c r="AK68" s="3"/>
      <c r="AL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8:53" ht="13.2" x14ac:dyDescent="0.25">
      <c r="AB69" s="2"/>
      <c r="AC69" s="2"/>
      <c r="AD69" s="2"/>
      <c r="AF69" s="3"/>
      <c r="AG69" s="3"/>
      <c r="AH69" s="3"/>
      <c r="AJ69" s="3"/>
      <c r="AK69" s="3"/>
      <c r="AL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8:53" ht="13.2" x14ac:dyDescent="0.25">
      <c r="AB70" s="2"/>
      <c r="AC70" s="2"/>
      <c r="AD70" s="2"/>
      <c r="AF70" s="3"/>
      <c r="AG70" s="3"/>
      <c r="AH70" s="3"/>
      <c r="AJ70" s="3"/>
      <c r="AK70" s="3"/>
      <c r="AL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8:53" ht="13.2" x14ac:dyDescent="0.25">
      <c r="AB71" s="2"/>
      <c r="AC71" s="2"/>
      <c r="AD71" s="2"/>
      <c r="AF71" s="3"/>
      <c r="AG71" s="3"/>
      <c r="AH71" s="3"/>
      <c r="AJ71" s="3"/>
      <c r="AK71" s="3"/>
      <c r="AL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8:53" ht="13.2" x14ac:dyDescent="0.25">
      <c r="AB72" s="2"/>
      <c r="AC72" s="2"/>
      <c r="AD72" s="2"/>
      <c r="AF72" s="3"/>
      <c r="AG72" s="3"/>
      <c r="AH72" s="3"/>
      <c r="AJ72" s="3"/>
      <c r="AK72" s="3"/>
      <c r="AL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8:53" ht="13.2" x14ac:dyDescent="0.25">
      <c r="AB73" s="2"/>
      <c r="AC73" s="2"/>
      <c r="AD73" s="2"/>
      <c r="AF73" s="3"/>
      <c r="AG73" s="3"/>
      <c r="AH73" s="3"/>
      <c r="AJ73" s="3"/>
      <c r="AK73" s="3"/>
      <c r="AL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8:53" ht="13.2" x14ac:dyDescent="0.25">
      <c r="AB74" s="2"/>
      <c r="AC74" s="2"/>
      <c r="AD74" s="2"/>
      <c r="AF74" s="3"/>
      <c r="AG74" s="3"/>
      <c r="AH74" s="3"/>
      <c r="AJ74" s="3"/>
      <c r="AK74" s="3"/>
      <c r="AL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8:53" ht="13.2" x14ac:dyDescent="0.25">
      <c r="AB75" s="2"/>
      <c r="AC75" s="2"/>
      <c r="AD75" s="2"/>
      <c r="AF75" s="3"/>
      <c r="AG75" s="3"/>
      <c r="AH75" s="3"/>
      <c r="AJ75" s="3"/>
      <c r="AK75" s="3"/>
      <c r="AL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8:53" ht="13.2" x14ac:dyDescent="0.25">
      <c r="AB76" s="2"/>
      <c r="AC76" s="2"/>
      <c r="AD76" s="2"/>
      <c r="AF76" s="3"/>
      <c r="AG76" s="3"/>
      <c r="AH76" s="3"/>
      <c r="AJ76" s="3"/>
      <c r="AK76" s="3"/>
      <c r="AL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8:53" ht="13.2" x14ac:dyDescent="0.25">
      <c r="AB77" s="2"/>
      <c r="AC77" s="2"/>
      <c r="AD77" s="2"/>
      <c r="AF77" s="3"/>
      <c r="AG77" s="3"/>
      <c r="AH77" s="3"/>
      <c r="AJ77" s="3"/>
      <c r="AK77" s="3"/>
      <c r="AL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8:53" ht="13.2" x14ac:dyDescent="0.25">
      <c r="AB78" s="2"/>
      <c r="AC78" s="2"/>
      <c r="AD78" s="2"/>
      <c r="AF78" s="3"/>
      <c r="AG78" s="3"/>
      <c r="AH78" s="3"/>
      <c r="AJ78" s="3"/>
      <c r="AK78" s="3"/>
      <c r="AL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8:53" ht="13.2" x14ac:dyDescent="0.25">
      <c r="AB79" s="2"/>
      <c r="AC79" s="2"/>
      <c r="AD79" s="2"/>
      <c r="AF79" s="3"/>
      <c r="AG79" s="3"/>
      <c r="AH79" s="3"/>
      <c r="AJ79" s="3"/>
      <c r="AK79" s="3"/>
      <c r="AL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8:53" ht="13.2" x14ac:dyDescent="0.25">
      <c r="AB80" s="2"/>
      <c r="AC80" s="2"/>
      <c r="AD80" s="2"/>
      <c r="AF80" s="3"/>
      <c r="AG80" s="3"/>
      <c r="AH80" s="3"/>
      <c r="AJ80" s="3"/>
      <c r="AK80" s="3"/>
      <c r="AL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8:53" ht="13.2" x14ac:dyDescent="0.25">
      <c r="AB81" s="2"/>
      <c r="AC81" s="2"/>
      <c r="AD81" s="2"/>
      <c r="AF81" s="3"/>
      <c r="AG81" s="3"/>
      <c r="AH81" s="3"/>
      <c r="AJ81" s="3"/>
      <c r="AK81" s="3"/>
      <c r="AL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8:53" ht="13.2" x14ac:dyDescent="0.25">
      <c r="AF82" s="3"/>
      <c r="AG82" s="3"/>
      <c r="AH82" s="3"/>
      <c r="AJ82" s="3"/>
      <c r="AK82" s="3"/>
      <c r="AL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8:53" ht="13.2" x14ac:dyDescent="0.25">
      <c r="AF83" s="3"/>
      <c r="AG83" s="3"/>
      <c r="AH83" s="3"/>
      <c r="AJ83" s="3"/>
      <c r="AK83" s="3"/>
      <c r="AL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8:53" ht="13.2" x14ac:dyDescent="0.25">
      <c r="H84" s="3"/>
      <c r="I84" s="3"/>
      <c r="J84" s="3"/>
      <c r="AF84" s="3"/>
      <c r="AG84" s="3"/>
      <c r="AH84" s="3"/>
      <c r="AJ84" s="3"/>
      <c r="AK84" s="3"/>
      <c r="AL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8:53" ht="13.2" x14ac:dyDescent="0.25">
      <c r="H85" s="3"/>
      <c r="I85" s="3"/>
      <c r="J85" s="3"/>
      <c r="AF85" s="3"/>
      <c r="AG85" s="3"/>
      <c r="AH85" s="3"/>
      <c r="AJ85" s="3"/>
      <c r="AK85" s="3"/>
      <c r="AL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8:53" ht="13.2" x14ac:dyDescent="0.25">
      <c r="H86" s="3"/>
      <c r="I86" s="3"/>
      <c r="J86" s="3"/>
      <c r="AF86" s="3"/>
      <c r="AG86" s="3"/>
      <c r="AH86" s="3"/>
      <c r="AJ86" s="3"/>
      <c r="AK86" s="3"/>
      <c r="AL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8:53" ht="13.2" x14ac:dyDescent="0.25">
      <c r="H87" s="3"/>
      <c r="I87" s="3"/>
      <c r="J87" s="3"/>
      <c r="AF87" s="3"/>
      <c r="AG87" s="3"/>
      <c r="AH87" s="3"/>
      <c r="AJ87" s="3"/>
      <c r="AK87" s="3"/>
      <c r="AL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8:53" ht="13.2" x14ac:dyDescent="0.25">
      <c r="H88" s="3"/>
      <c r="I88" s="3"/>
      <c r="J88" s="3"/>
      <c r="AF88" s="3"/>
      <c r="AG88" s="3"/>
      <c r="AH88" s="3"/>
      <c r="AJ88" s="3"/>
      <c r="AK88" s="3"/>
      <c r="AL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8:53" ht="13.2" x14ac:dyDescent="0.25">
      <c r="H89" s="3"/>
      <c r="I89" s="3"/>
      <c r="J89" s="3"/>
      <c r="AF89" s="3"/>
      <c r="AG89" s="3"/>
      <c r="AH89" s="3"/>
      <c r="AJ89" s="3"/>
      <c r="AK89" s="3"/>
      <c r="AL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8:53" ht="13.2" x14ac:dyDescent="0.25">
      <c r="H90" s="3"/>
      <c r="I90" s="3"/>
      <c r="J90" s="3"/>
      <c r="AF90" s="3"/>
      <c r="AG90" s="3"/>
      <c r="AH90" s="3"/>
      <c r="AJ90" s="3"/>
      <c r="AK90" s="3"/>
      <c r="AL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8:53" ht="13.2" x14ac:dyDescent="0.25">
      <c r="H91" s="3"/>
      <c r="I91" s="3"/>
      <c r="J91" s="3"/>
      <c r="AF91" s="3"/>
      <c r="AG91" s="3"/>
      <c r="AH91" s="3"/>
      <c r="AJ91" s="3"/>
      <c r="AK91" s="3"/>
      <c r="AL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8:53" ht="13.2" x14ac:dyDescent="0.25">
      <c r="H92" s="3"/>
      <c r="I92" s="3"/>
      <c r="J92" s="3"/>
      <c r="AF92" s="3"/>
      <c r="AG92" s="3"/>
      <c r="AH92" s="3"/>
      <c r="AJ92" s="3"/>
      <c r="AK92" s="3"/>
      <c r="AL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8:53" ht="13.2" x14ac:dyDescent="0.25">
      <c r="H93" s="3"/>
      <c r="I93" s="3"/>
      <c r="J93" s="3"/>
      <c r="AF93" s="3"/>
      <c r="AG93" s="3"/>
      <c r="AH93" s="3"/>
      <c r="AJ93" s="3"/>
      <c r="AK93" s="3"/>
      <c r="AL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8:53" ht="13.2" x14ac:dyDescent="0.25">
      <c r="AF94" s="3"/>
      <c r="AG94" s="3"/>
      <c r="AH94" s="3"/>
      <c r="AJ94" s="3"/>
      <c r="AK94" s="3"/>
      <c r="AL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8:53" ht="13.2" x14ac:dyDescent="0.25">
      <c r="AF95" s="3"/>
      <c r="AG95" s="3"/>
      <c r="AH95" s="3"/>
      <c r="AJ95" s="3"/>
      <c r="AK95" s="3"/>
      <c r="AL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8:53" ht="13.2" x14ac:dyDescent="0.25">
      <c r="AF96" s="3"/>
      <c r="AG96" s="3"/>
      <c r="AH96" s="3"/>
      <c r="AJ96" s="3"/>
      <c r="AK96" s="3"/>
      <c r="AL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32:53" ht="13.2" x14ac:dyDescent="0.25">
      <c r="AF97" s="3"/>
      <c r="AG97" s="3"/>
      <c r="AH97" s="3"/>
      <c r="AJ97" s="3"/>
      <c r="AK97" s="3"/>
      <c r="AL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32:53" ht="13.2" x14ac:dyDescent="0.25">
      <c r="AF98" s="3"/>
      <c r="AG98" s="3"/>
      <c r="AH98" s="3"/>
      <c r="AJ98" s="3"/>
      <c r="AK98" s="3"/>
      <c r="AL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32:53" ht="13.2" x14ac:dyDescent="0.25">
      <c r="AF99" s="3"/>
      <c r="AG99" s="3"/>
      <c r="AH99" s="3"/>
      <c r="AJ99" s="3"/>
      <c r="AK99" s="3"/>
      <c r="AL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32:53" ht="13.2" x14ac:dyDescent="0.25">
      <c r="AF100" s="3"/>
      <c r="AG100" s="3"/>
      <c r="AH100" s="3"/>
      <c r="AJ100" s="3"/>
      <c r="AK100" s="3"/>
      <c r="AL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32:53" ht="13.2" x14ac:dyDescent="0.25">
      <c r="AF101" s="3"/>
      <c r="AG101" s="3"/>
      <c r="AH101" s="3"/>
      <c r="AJ101" s="3"/>
      <c r="AK101" s="3"/>
      <c r="AL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32:53" ht="13.2" x14ac:dyDescent="0.25">
      <c r="AF102" s="3"/>
      <c r="AG102" s="3"/>
      <c r="AH102" s="3"/>
      <c r="AJ102" s="3"/>
      <c r="AK102" s="3"/>
      <c r="AL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32:53" ht="13.2" x14ac:dyDescent="0.25">
      <c r="AF103" s="3"/>
      <c r="AG103" s="3"/>
      <c r="AH103" s="3"/>
      <c r="AJ103" s="3"/>
      <c r="AK103" s="3"/>
      <c r="AL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32:53" ht="13.2" x14ac:dyDescent="0.25">
      <c r="AF104" s="3"/>
      <c r="AG104" s="3"/>
      <c r="AH104" s="3"/>
      <c r="AJ104" s="3"/>
      <c r="AK104" s="3"/>
      <c r="AL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32:53" ht="13.2" x14ac:dyDescent="0.25">
      <c r="AF105" s="3"/>
      <c r="AG105" s="3"/>
      <c r="AH105" s="3"/>
      <c r="AJ105" s="3"/>
      <c r="AK105" s="3"/>
      <c r="AL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32:53" ht="13.2" x14ac:dyDescent="0.25">
      <c r="AF106" s="3"/>
      <c r="AG106" s="3"/>
      <c r="AH106" s="3"/>
      <c r="AJ106" s="3"/>
      <c r="AK106" s="3"/>
      <c r="AL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32:53" ht="13.2" x14ac:dyDescent="0.25">
      <c r="AF107" s="3"/>
      <c r="AG107" s="3"/>
      <c r="AH107" s="3"/>
      <c r="AJ107" s="3"/>
      <c r="AK107" s="3"/>
      <c r="AL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32:53" ht="13.2" x14ac:dyDescent="0.25">
      <c r="AF108" s="3"/>
      <c r="AG108" s="3"/>
      <c r="AH108" s="3"/>
      <c r="AJ108" s="3"/>
      <c r="AK108" s="3"/>
      <c r="AL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32:53" ht="13.2" x14ac:dyDescent="0.25">
      <c r="AF109" s="3"/>
      <c r="AG109" s="3"/>
      <c r="AH109" s="3"/>
      <c r="AJ109" s="3"/>
      <c r="AK109" s="3"/>
      <c r="AL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32:53" ht="13.2" x14ac:dyDescent="0.25">
      <c r="AF110" s="3"/>
      <c r="AG110" s="3"/>
      <c r="AH110" s="3"/>
      <c r="AJ110" s="3"/>
      <c r="AK110" s="3"/>
      <c r="AL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32:53" ht="13.2" x14ac:dyDescent="0.25">
      <c r="AF111" s="3"/>
      <c r="AG111" s="3"/>
      <c r="AH111" s="3"/>
      <c r="AJ111" s="3"/>
      <c r="AK111" s="3"/>
      <c r="AL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32:53" ht="13.2" x14ac:dyDescent="0.25">
      <c r="AF112" s="3"/>
      <c r="AG112" s="3"/>
      <c r="AH112" s="3"/>
      <c r="AJ112" s="3"/>
      <c r="AK112" s="3"/>
      <c r="AL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2:53" ht="13.2" x14ac:dyDescent="0.25">
      <c r="AF113" s="3"/>
      <c r="AG113" s="3"/>
      <c r="AH113" s="3"/>
      <c r="AJ113" s="3"/>
      <c r="AK113" s="3"/>
      <c r="AL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2:53" ht="13.2" x14ac:dyDescent="0.25">
      <c r="AF114" s="3"/>
      <c r="AG114" s="3"/>
      <c r="AH114" s="3"/>
      <c r="AJ114" s="3"/>
      <c r="AK114" s="3"/>
      <c r="AL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2:53" ht="13.2" x14ac:dyDescent="0.25">
      <c r="AF115" s="3"/>
      <c r="AG115" s="3"/>
      <c r="AH115" s="3"/>
      <c r="AJ115" s="3"/>
      <c r="AK115" s="3"/>
      <c r="AL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2:53" ht="13.2" x14ac:dyDescent="0.25">
      <c r="AF116" s="3"/>
      <c r="AG116" s="3"/>
      <c r="AH116" s="3"/>
      <c r="AJ116" s="3"/>
      <c r="AK116" s="3"/>
      <c r="AL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2:53" ht="13.2" x14ac:dyDescent="0.25">
      <c r="AF117" s="3"/>
      <c r="AG117" s="3"/>
      <c r="AH117" s="3"/>
      <c r="AJ117" s="3"/>
      <c r="AK117" s="3"/>
      <c r="AL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2:53" ht="13.2" x14ac:dyDescent="0.25">
      <c r="AF118" s="3"/>
      <c r="AG118" s="3"/>
      <c r="AH118" s="3"/>
      <c r="AJ118" s="3"/>
      <c r="AK118" s="3"/>
      <c r="AL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2:53" ht="13.2" x14ac:dyDescent="0.25">
      <c r="AF119" s="3"/>
      <c r="AG119" s="3"/>
      <c r="AH119" s="3"/>
      <c r="AJ119" s="3"/>
      <c r="AK119" s="3"/>
      <c r="AL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2:53" ht="13.2" x14ac:dyDescent="0.25">
      <c r="AF120" s="3"/>
      <c r="AG120" s="3"/>
      <c r="AH120" s="3"/>
      <c r="AJ120" s="3"/>
      <c r="AK120" s="3"/>
      <c r="AL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2:53" ht="13.2" x14ac:dyDescent="0.25">
      <c r="AF121" s="3"/>
      <c r="AG121" s="3"/>
      <c r="AH121" s="3"/>
      <c r="AJ121" s="3"/>
      <c r="AK121" s="3"/>
      <c r="AL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2:53" ht="13.2" x14ac:dyDescent="0.25">
      <c r="AF122" s="3"/>
      <c r="AG122" s="3"/>
      <c r="AH122" s="3"/>
      <c r="AJ122" s="3"/>
      <c r="AK122" s="3"/>
      <c r="AL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2:53" ht="13.2" x14ac:dyDescent="0.25">
      <c r="AF123" s="3"/>
      <c r="AG123" s="3"/>
      <c r="AH123" s="3"/>
      <c r="AJ123" s="3"/>
      <c r="AK123" s="3"/>
      <c r="AL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2:53" ht="13.2" x14ac:dyDescent="0.25">
      <c r="AF124" s="3"/>
      <c r="AG124" s="3"/>
      <c r="AH124" s="3"/>
      <c r="AJ124" s="3"/>
      <c r="AK124" s="3"/>
      <c r="AL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2:53" ht="13.2" x14ac:dyDescent="0.25">
      <c r="T125" s="3"/>
      <c r="U125" s="3"/>
      <c r="V125" s="3"/>
      <c r="W125" s="3"/>
      <c r="AB125" s="3"/>
      <c r="AC125" s="3"/>
      <c r="AD125" s="3"/>
      <c r="AE125" s="3"/>
      <c r="AF125" s="3"/>
      <c r="AG125" s="3"/>
      <c r="AH125" s="3"/>
      <c r="AJ125" s="3"/>
      <c r="AK125" s="3"/>
      <c r="AL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2:53" ht="13.2" x14ac:dyDescent="0.25">
      <c r="T126" s="3"/>
      <c r="U126" s="3"/>
      <c r="V126" s="3"/>
      <c r="W126" s="3"/>
      <c r="AB126" s="3"/>
      <c r="AC126" s="3"/>
      <c r="AD126" s="3"/>
      <c r="AE126" s="3"/>
      <c r="AF126" s="3"/>
      <c r="AG126" s="3"/>
      <c r="AH126" s="3"/>
      <c r="AJ126" s="3"/>
      <c r="AK126" s="3"/>
      <c r="AL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2:53" ht="13.2" x14ac:dyDescent="0.25"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J127" s="3"/>
      <c r="AK127" s="3"/>
      <c r="AL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2:53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J128" s="3"/>
      <c r="AK128" s="3"/>
      <c r="AL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2:53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J129" s="3"/>
      <c r="AK129" s="3"/>
      <c r="AL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2:53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J130" s="3"/>
      <c r="AK130" s="3"/>
      <c r="AL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2:53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J131" s="3"/>
      <c r="AK131" s="3"/>
      <c r="AL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2:53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J132" s="3"/>
      <c r="AK132" s="3"/>
      <c r="AL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2:53" ht="13.2" x14ac:dyDescent="0.25"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J133" s="3"/>
      <c r="AK133" s="3"/>
      <c r="AL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2:53" ht="13.2" x14ac:dyDescent="0.25"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J134" s="3"/>
      <c r="AK134" s="3"/>
      <c r="AL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2:53" ht="13.2" x14ac:dyDescent="0.25"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J135" s="3"/>
      <c r="AK135" s="3"/>
      <c r="AL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2:53" ht="13.2" x14ac:dyDescent="0.25"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J136" s="3"/>
      <c r="AK136" s="3"/>
      <c r="AL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2:53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J137" s="3"/>
      <c r="AK137" s="3"/>
      <c r="AL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2:53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J138" s="3"/>
      <c r="AK138" s="3"/>
      <c r="AL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2:53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J139" s="3"/>
      <c r="AK139" s="3"/>
      <c r="AL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2:53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J140" s="3"/>
      <c r="AK140" s="3"/>
      <c r="AL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2:53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J141" s="3"/>
      <c r="AK141" s="3"/>
      <c r="AL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2:53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J142" s="3"/>
      <c r="AK142" s="3"/>
      <c r="AL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2:53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J143" s="3"/>
      <c r="AK143" s="3"/>
      <c r="AL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2:53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J144" s="3"/>
      <c r="AK144" s="3"/>
      <c r="AL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J145" s="3"/>
      <c r="AK145" s="3"/>
      <c r="AL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J146" s="3"/>
      <c r="AK146" s="3"/>
      <c r="AL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J147" s="3"/>
      <c r="AK147" s="3"/>
      <c r="AL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J148" s="3"/>
      <c r="AK148" s="3"/>
      <c r="AL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J149" s="3"/>
      <c r="AK149" s="3"/>
      <c r="AL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J150" s="3"/>
      <c r="AK150" s="3"/>
      <c r="AL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J151" s="3"/>
      <c r="AK151" s="3"/>
      <c r="AL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J152" s="3"/>
      <c r="AK152" s="3"/>
      <c r="AL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J153" s="3"/>
      <c r="AK153" s="3"/>
      <c r="AL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J154" s="3"/>
      <c r="AK154" s="3"/>
      <c r="AL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J155" s="3"/>
      <c r="AK155" s="3"/>
      <c r="AL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J156" s="3"/>
      <c r="AK156" s="3"/>
      <c r="AL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J157" s="3"/>
      <c r="AK157" s="3"/>
      <c r="AL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J158" s="3"/>
      <c r="AK158" s="3"/>
      <c r="AL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J159" s="3"/>
      <c r="AK159" s="3"/>
      <c r="AL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J160" s="3"/>
      <c r="AK160" s="3"/>
      <c r="AL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J161" s="3"/>
      <c r="AK161" s="3"/>
      <c r="AL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J162" s="3"/>
      <c r="AK162" s="3"/>
      <c r="AL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J163" s="3"/>
      <c r="AK163" s="3"/>
      <c r="AL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J164" s="3"/>
      <c r="AK164" s="3"/>
      <c r="AL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J165" s="3"/>
      <c r="AK165" s="3"/>
      <c r="AL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J166" s="3"/>
      <c r="AK166" s="3"/>
      <c r="AL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J167" s="3"/>
      <c r="AK167" s="3"/>
      <c r="AL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J168" s="3"/>
      <c r="AK168" s="3"/>
      <c r="AL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J169" s="3"/>
      <c r="AK169" s="3"/>
      <c r="AL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J170" s="3"/>
      <c r="AK170" s="3"/>
      <c r="AL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J171" s="3"/>
      <c r="AK171" s="3"/>
      <c r="AL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J172" s="3"/>
      <c r="AK172" s="3"/>
      <c r="AL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J173" s="3"/>
      <c r="AK173" s="3"/>
      <c r="AL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J174" s="3"/>
      <c r="AK174" s="3"/>
      <c r="AL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J175" s="3"/>
      <c r="AK175" s="3"/>
      <c r="AL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J176" s="3"/>
      <c r="AK176" s="3"/>
      <c r="AL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J177" s="3"/>
      <c r="AK177" s="3"/>
      <c r="AL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J178" s="3"/>
      <c r="AK178" s="3"/>
      <c r="AL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J179" s="3"/>
      <c r="AK179" s="3"/>
      <c r="AL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J180" s="3"/>
      <c r="AK180" s="3"/>
      <c r="AL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J181" s="3"/>
      <c r="AK181" s="3"/>
      <c r="AL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J182" s="3"/>
      <c r="AK182" s="3"/>
      <c r="AL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J183" s="3"/>
      <c r="AK183" s="3"/>
      <c r="AL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J184" s="3"/>
      <c r="AK184" s="3"/>
      <c r="AL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J185" s="3"/>
      <c r="AK185" s="3"/>
      <c r="AL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J186" s="3"/>
      <c r="AK186" s="3"/>
      <c r="AL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J187" s="3"/>
      <c r="AK187" s="3"/>
      <c r="AL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J188" s="3"/>
      <c r="AK188" s="3"/>
      <c r="AL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J189" s="3"/>
      <c r="AK189" s="3"/>
      <c r="AL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J190" s="3"/>
      <c r="AK190" s="3"/>
      <c r="AL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J191" s="3"/>
      <c r="AK191" s="3"/>
      <c r="AL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J192" s="3"/>
      <c r="AK192" s="3"/>
      <c r="AL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J193" s="3"/>
      <c r="AK193" s="3"/>
      <c r="AL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J194" s="3"/>
      <c r="AK194" s="3"/>
      <c r="AL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J195" s="3"/>
      <c r="AK195" s="3"/>
      <c r="AL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J196" s="3"/>
      <c r="AK196" s="3"/>
      <c r="AL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J197" s="3"/>
      <c r="AK197" s="3"/>
      <c r="AL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J198" s="3"/>
      <c r="AK198" s="3"/>
      <c r="AL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J199" s="3"/>
      <c r="AK199" s="3"/>
      <c r="AL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J200" s="3"/>
      <c r="AK200" s="3"/>
      <c r="AL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J201" s="3"/>
      <c r="AK201" s="3"/>
      <c r="AL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J202" s="3"/>
      <c r="AK202" s="3"/>
      <c r="AL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J203" s="3"/>
      <c r="AK203" s="3"/>
      <c r="AL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J204" s="3"/>
      <c r="AK204" s="3"/>
      <c r="AL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J205" s="3"/>
      <c r="AK205" s="3"/>
      <c r="AL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J206" s="3"/>
      <c r="AK206" s="3"/>
      <c r="AL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spans="1:53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J207" s="3"/>
      <c r="AK207" s="3"/>
      <c r="AL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spans="1:53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J208" s="3"/>
      <c r="AK208" s="3"/>
      <c r="AL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spans="1:53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J209" s="3"/>
      <c r="AK209" s="3"/>
      <c r="AL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J210" s="3"/>
      <c r="AK210" s="3"/>
      <c r="AL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J211" s="3"/>
      <c r="AK211" s="3"/>
      <c r="AL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J212" s="3"/>
      <c r="AK212" s="3"/>
      <c r="AL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J213" s="3"/>
      <c r="AK213" s="3"/>
      <c r="AL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J214" s="3"/>
      <c r="AK214" s="3"/>
      <c r="AL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J215" s="3"/>
      <c r="AK215" s="3"/>
      <c r="AL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J216" s="3"/>
      <c r="AK216" s="3"/>
      <c r="AL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J217" s="3"/>
      <c r="AK217" s="3"/>
      <c r="AL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J218" s="3"/>
      <c r="AK218" s="3"/>
      <c r="AL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spans="1:53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J219" s="3"/>
      <c r="AK219" s="3"/>
      <c r="AL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J220" s="3"/>
      <c r="AK220" s="3"/>
      <c r="AL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spans="1:53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J221" s="3"/>
      <c r="AK221" s="3"/>
      <c r="AL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</row>
    <row r="222" spans="1:53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J222" s="3"/>
      <c r="AK222" s="3"/>
      <c r="AL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 spans="1:53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J223" s="3"/>
      <c r="AK223" s="3"/>
      <c r="AL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</row>
    <row r="224" spans="1:53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J224" s="3"/>
      <c r="AK224" s="3"/>
      <c r="AL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 spans="1:53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J225" s="3"/>
      <c r="AK225" s="3"/>
      <c r="AL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J226" s="3"/>
      <c r="AK226" s="3"/>
      <c r="AL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J227" s="3"/>
      <c r="AK227" s="3"/>
      <c r="AL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J228" s="3"/>
      <c r="AK228" s="3"/>
      <c r="AL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J229" s="3"/>
      <c r="AK229" s="3"/>
      <c r="AL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J230" s="3"/>
      <c r="AK230" s="3"/>
      <c r="AL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J231" s="3"/>
      <c r="AK231" s="3"/>
      <c r="AL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J232" s="3"/>
      <c r="AK232" s="3"/>
      <c r="AL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J233" s="3"/>
      <c r="AK233" s="3"/>
      <c r="AL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J234" s="3"/>
      <c r="AK234" s="3"/>
      <c r="AL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J235" s="3"/>
      <c r="AK235" s="3"/>
      <c r="AL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J236" s="3"/>
      <c r="AK236" s="3"/>
      <c r="AL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J237" s="3"/>
      <c r="AK237" s="3"/>
      <c r="AL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J238" s="3"/>
      <c r="AK238" s="3"/>
      <c r="AL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J239" s="3"/>
      <c r="AK239" s="3"/>
      <c r="AL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J240" s="3"/>
      <c r="AK240" s="3"/>
      <c r="AL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J241" s="3"/>
      <c r="AK241" s="3"/>
      <c r="AL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J242" s="3"/>
      <c r="AK242" s="3"/>
      <c r="AL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J243" s="3"/>
      <c r="AK243" s="3"/>
      <c r="AL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J244" s="3"/>
      <c r="AK244" s="3"/>
      <c r="AL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J245" s="3"/>
      <c r="AK245" s="3"/>
      <c r="AL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J246" s="3"/>
      <c r="AK246" s="3"/>
      <c r="AL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J247" s="3"/>
      <c r="AK247" s="3"/>
      <c r="AL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J248" s="3"/>
      <c r="AK248" s="3"/>
      <c r="AL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J249" s="3"/>
      <c r="AK249" s="3"/>
      <c r="AL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J250" s="3"/>
      <c r="AK250" s="3"/>
      <c r="AL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J251" s="3"/>
      <c r="AK251" s="3"/>
      <c r="AL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J252" s="3"/>
      <c r="AK252" s="3"/>
      <c r="AL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J253" s="3"/>
      <c r="AK253" s="3"/>
      <c r="AL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J254" s="3"/>
      <c r="AK254" s="3"/>
      <c r="AL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J255" s="3"/>
      <c r="AK255" s="3"/>
      <c r="AL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J256" s="3"/>
      <c r="AK256" s="3"/>
      <c r="AL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J257" s="3"/>
      <c r="AK257" s="3"/>
      <c r="AL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 spans="1:53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J258" s="3"/>
      <c r="AK258" s="3"/>
      <c r="AL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J259" s="3"/>
      <c r="AK259" s="3"/>
      <c r="AL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J260" s="3"/>
      <c r="AK260" s="3"/>
      <c r="AL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</row>
    <row r="261" spans="1:53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J261" s="3"/>
      <c r="AK261" s="3"/>
      <c r="AL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J262" s="3"/>
      <c r="AK262" s="3"/>
      <c r="AL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</row>
    <row r="263" spans="1:53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J263" s="3"/>
      <c r="AK263" s="3"/>
      <c r="AL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J264" s="3"/>
      <c r="AK264" s="3"/>
      <c r="AL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J265" s="3"/>
      <c r="AK265" s="3"/>
      <c r="AL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J266" s="3"/>
      <c r="AK266" s="3"/>
      <c r="AL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J267" s="3"/>
      <c r="AK267" s="3"/>
      <c r="AL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J268" s="3"/>
      <c r="AK268" s="3"/>
      <c r="AL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J269" s="3"/>
      <c r="AK269" s="3"/>
      <c r="AL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J270" s="3"/>
      <c r="AK270" s="3"/>
      <c r="AL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J271" s="3"/>
      <c r="AK271" s="3"/>
      <c r="AL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J272" s="3"/>
      <c r="AK272" s="3"/>
      <c r="AL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J273" s="3"/>
      <c r="AK273" s="3"/>
      <c r="AL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J274" s="3"/>
      <c r="AK274" s="3"/>
      <c r="AL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J275" s="3"/>
      <c r="AK275" s="3"/>
      <c r="AL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J276" s="3"/>
      <c r="AK276" s="3"/>
      <c r="AL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J277" s="3"/>
      <c r="AK277" s="3"/>
      <c r="AL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J278" s="3"/>
      <c r="AK278" s="3"/>
      <c r="AL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J279" s="3"/>
      <c r="AK279" s="3"/>
      <c r="AL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J280" s="3"/>
      <c r="AK280" s="3"/>
      <c r="AL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J281" s="3"/>
      <c r="AK281" s="3"/>
      <c r="AL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J282" s="3"/>
      <c r="AK282" s="3"/>
      <c r="AL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J283" s="3"/>
      <c r="AK283" s="3"/>
      <c r="AL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J284" s="3"/>
      <c r="AK284" s="3"/>
      <c r="AL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J285" s="3"/>
      <c r="AK285" s="3"/>
      <c r="AL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J286" s="3"/>
      <c r="AK286" s="3"/>
      <c r="AL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J287" s="3"/>
      <c r="AK287" s="3"/>
      <c r="AL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J288" s="3"/>
      <c r="AK288" s="3"/>
      <c r="AL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J289" s="3"/>
      <c r="AK289" s="3"/>
      <c r="AL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J290" s="3"/>
      <c r="AK290" s="3"/>
      <c r="AL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J291" s="3"/>
      <c r="AK291" s="3"/>
      <c r="AL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J292" s="3"/>
      <c r="AK292" s="3"/>
      <c r="AL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J293" s="3"/>
      <c r="AK293" s="3"/>
      <c r="AL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J294" s="3"/>
      <c r="AK294" s="3"/>
      <c r="AL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J295" s="3"/>
      <c r="AK295" s="3"/>
      <c r="AL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J296" s="3"/>
      <c r="AK296" s="3"/>
      <c r="AL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J297" s="3"/>
      <c r="AK297" s="3"/>
      <c r="AL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J298" s="3"/>
      <c r="AK298" s="3"/>
      <c r="AL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J299" s="3"/>
      <c r="AK299" s="3"/>
      <c r="AL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J300" s="3"/>
      <c r="AK300" s="3"/>
      <c r="AL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J301" s="3"/>
      <c r="AK301" s="3"/>
      <c r="AL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J302" s="3"/>
      <c r="AK302" s="3"/>
      <c r="AL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J303" s="3"/>
      <c r="AK303" s="3"/>
      <c r="AL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J304" s="3"/>
      <c r="AK304" s="3"/>
      <c r="AL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J305" s="3"/>
      <c r="AK305" s="3"/>
      <c r="AL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J306" s="3"/>
      <c r="AK306" s="3"/>
      <c r="AL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J307" s="3"/>
      <c r="AK307" s="3"/>
      <c r="AL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J308" s="3"/>
      <c r="AK308" s="3"/>
      <c r="AL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J309" s="3"/>
      <c r="AK309" s="3"/>
      <c r="AL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J310" s="3"/>
      <c r="AK310" s="3"/>
      <c r="AL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J311" s="3"/>
      <c r="AK311" s="3"/>
      <c r="AL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J312" s="3"/>
      <c r="AK312" s="3"/>
      <c r="AL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J313" s="3"/>
      <c r="AK313" s="3"/>
      <c r="AL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J314" s="3"/>
      <c r="AK314" s="3"/>
      <c r="AL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J315" s="3"/>
      <c r="AK315" s="3"/>
      <c r="AL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J316" s="3"/>
      <c r="AK316" s="3"/>
      <c r="AL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J317" s="3"/>
      <c r="AK317" s="3"/>
      <c r="AL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J318" s="3"/>
      <c r="AK318" s="3"/>
      <c r="AL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J319" s="3"/>
      <c r="AK319" s="3"/>
      <c r="AL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J320" s="3"/>
      <c r="AK320" s="3"/>
      <c r="AL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J321" s="3"/>
      <c r="AK321" s="3"/>
      <c r="AL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J322" s="3"/>
      <c r="AK322" s="3"/>
      <c r="AL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J323" s="3"/>
      <c r="AK323" s="3"/>
      <c r="AL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J324" s="3"/>
      <c r="AK324" s="3"/>
      <c r="AL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J325" s="3"/>
      <c r="AK325" s="3"/>
      <c r="AL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J326" s="3"/>
      <c r="AK326" s="3"/>
      <c r="AL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J327" s="3"/>
      <c r="AK327" s="3"/>
      <c r="AL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J328" s="3"/>
      <c r="AK328" s="3"/>
      <c r="AL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J329" s="3"/>
      <c r="AK329" s="3"/>
      <c r="AL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J330" s="3"/>
      <c r="AK330" s="3"/>
      <c r="AL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J331" s="3"/>
      <c r="AK331" s="3"/>
      <c r="AL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J332" s="3"/>
      <c r="AK332" s="3"/>
      <c r="AL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J333" s="3"/>
      <c r="AK333" s="3"/>
      <c r="AL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J334" s="3"/>
      <c r="AK334" s="3"/>
      <c r="AL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J335" s="3"/>
      <c r="AK335" s="3"/>
      <c r="AL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J336" s="3"/>
      <c r="AK336" s="3"/>
      <c r="AL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J337" s="3"/>
      <c r="AK337" s="3"/>
      <c r="AL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J338" s="3"/>
      <c r="AK338" s="3"/>
      <c r="AL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J339" s="3"/>
      <c r="AK339" s="3"/>
      <c r="AL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J340" s="3"/>
      <c r="AK340" s="3"/>
      <c r="AL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J341" s="3"/>
      <c r="AK341" s="3"/>
      <c r="AL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J342" s="3"/>
      <c r="AK342" s="3"/>
      <c r="AL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J343" s="3"/>
      <c r="AK343" s="3"/>
      <c r="AL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J344" s="3"/>
      <c r="AK344" s="3"/>
      <c r="AL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J345" s="3"/>
      <c r="AK345" s="3"/>
      <c r="AL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J346" s="3"/>
      <c r="AK346" s="3"/>
      <c r="AL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J347" s="3"/>
      <c r="AK347" s="3"/>
      <c r="AL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J348" s="3"/>
      <c r="AK348" s="3"/>
      <c r="AL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J349" s="3"/>
      <c r="AK349" s="3"/>
      <c r="AL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J350" s="3"/>
      <c r="AK350" s="3"/>
      <c r="AL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J351" s="3"/>
      <c r="AK351" s="3"/>
      <c r="AL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J352" s="3"/>
      <c r="AK352" s="3"/>
      <c r="AL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J353" s="3"/>
      <c r="AK353" s="3"/>
      <c r="AL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J354" s="3"/>
      <c r="AK354" s="3"/>
      <c r="AL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J355" s="3"/>
      <c r="AK355" s="3"/>
      <c r="AL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J356" s="3"/>
      <c r="AK356" s="3"/>
      <c r="AL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J357" s="3"/>
      <c r="AK357" s="3"/>
      <c r="AL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J358" s="3"/>
      <c r="AK358" s="3"/>
      <c r="AL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J359" s="3"/>
      <c r="AK359" s="3"/>
      <c r="AL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J360" s="3"/>
      <c r="AK360" s="3"/>
      <c r="AL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J361" s="3"/>
      <c r="AK361" s="3"/>
      <c r="AL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J362" s="3"/>
      <c r="AK362" s="3"/>
      <c r="AL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J363" s="3"/>
      <c r="AK363" s="3"/>
      <c r="AL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J364" s="3"/>
      <c r="AK364" s="3"/>
      <c r="AL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J365" s="3"/>
      <c r="AK365" s="3"/>
      <c r="AL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J366" s="3"/>
      <c r="AK366" s="3"/>
      <c r="AL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J367" s="3"/>
      <c r="AK367" s="3"/>
      <c r="AL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J368" s="3"/>
      <c r="AK368" s="3"/>
      <c r="AL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J369" s="3"/>
      <c r="AK369" s="3"/>
      <c r="AL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J370" s="3"/>
      <c r="AK370" s="3"/>
      <c r="AL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J371" s="3"/>
      <c r="AK371" s="3"/>
      <c r="AL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J372" s="3"/>
      <c r="AK372" s="3"/>
      <c r="AL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J373" s="3"/>
      <c r="AK373" s="3"/>
      <c r="AL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J374" s="3"/>
      <c r="AK374" s="3"/>
      <c r="AL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J375" s="3"/>
      <c r="AK375" s="3"/>
      <c r="AL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J376" s="3"/>
      <c r="AK376" s="3"/>
      <c r="AL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J377" s="3"/>
      <c r="AK377" s="3"/>
      <c r="AL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J378" s="3"/>
      <c r="AK378" s="3"/>
      <c r="AL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J379" s="3"/>
      <c r="AK379" s="3"/>
      <c r="AL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J380" s="3"/>
      <c r="AK380" s="3"/>
      <c r="AL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J381" s="3"/>
      <c r="AK381" s="3"/>
      <c r="AL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J382" s="3"/>
      <c r="AK382" s="3"/>
      <c r="AL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J383" s="3"/>
      <c r="AK383" s="3"/>
      <c r="AL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J384" s="3"/>
      <c r="AK384" s="3"/>
      <c r="AL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J385" s="3"/>
      <c r="AK385" s="3"/>
      <c r="AL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J386" s="3"/>
      <c r="AK386" s="3"/>
      <c r="AL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J387" s="3"/>
      <c r="AK387" s="3"/>
      <c r="AL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J388" s="3"/>
      <c r="AK388" s="3"/>
      <c r="AL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J389" s="3"/>
      <c r="AK389" s="3"/>
      <c r="AL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J390" s="3"/>
      <c r="AK390" s="3"/>
      <c r="AL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J391" s="3"/>
      <c r="AK391" s="3"/>
      <c r="AL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J392" s="3"/>
      <c r="AK392" s="3"/>
      <c r="AL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J393" s="3"/>
      <c r="AK393" s="3"/>
      <c r="AL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J394" s="3"/>
      <c r="AK394" s="3"/>
      <c r="AL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J395" s="3"/>
      <c r="AK395" s="3"/>
      <c r="AL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J396" s="3"/>
      <c r="AK396" s="3"/>
      <c r="AL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J397" s="3"/>
      <c r="AK397" s="3"/>
      <c r="AL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J398" s="3"/>
      <c r="AK398" s="3"/>
      <c r="AL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J399" s="3"/>
      <c r="AK399" s="3"/>
      <c r="AL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J400" s="3"/>
      <c r="AK400" s="3"/>
      <c r="AL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J401" s="3"/>
      <c r="AK401" s="3"/>
      <c r="AL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J402" s="3"/>
      <c r="AK402" s="3"/>
      <c r="AL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J403" s="3"/>
      <c r="AK403" s="3"/>
      <c r="AL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J404" s="3"/>
      <c r="AK404" s="3"/>
      <c r="AL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J405" s="3"/>
      <c r="AK405" s="3"/>
      <c r="AL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J406" s="3"/>
      <c r="AK406" s="3"/>
      <c r="AL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J407" s="3"/>
      <c r="AK407" s="3"/>
      <c r="AL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J408" s="3"/>
      <c r="AK408" s="3"/>
      <c r="AL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J409" s="3"/>
      <c r="AK409" s="3"/>
      <c r="AL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J410" s="3"/>
      <c r="AK410" s="3"/>
      <c r="AL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J411" s="3"/>
      <c r="AK411" s="3"/>
      <c r="AL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J412" s="3"/>
      <c r="AK412" s="3"/>
      <c r="AL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J413" s="3"/>
      <c r="AK413" s="3"/>
      <c r="AL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J414" s="3"/>
      <c r="AK414" s="3"/>
      <c r="AL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J415" s="3"/>
      <c r="AK415" s="3"/>
      <c r="AL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J416" s="3"/>
      <c r="AK416" s="3"/>
      <c r="AL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J417" s="3"/>
      <c r="AK417" s="3"/>
      <c r="AL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J418" s="3"/>
      <c r="AK418" s="3"/>
      <c r="AL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J419" s="3"/>
      <c r="AK419" s="3"/>
      <c r="AL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J420" s="3"/>
      <c r="AK420" s="3"/>
      <c r="AL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J421" s="3"/>
      <c r="AK421" s="3"/>
      <c r="AL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J422" s="3"/>
      <c r="AK422" s="3"/>
      <c r="AL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J423" s="3"/>
      <c r="AK423" s="3"/>
      <c r="AL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J424" s="3"/>
      <c r="AK424" s="3"/>
      <c r="AL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J425" s="3"/>
      <c r="AK425" s="3"/>
      <c r="AL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J426" s="3"/>
      <c r="AK426" s="3"/>
      <c r="AL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J427" s="3"/>
      <c r="AK427" s="3"/>
      <c r="AL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J428" s="3"/>
      <c r="AK428" s="3"/>
      <c r="AL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J429" s="3"/>
      <c r="AK429" s="3"/>
      <c r="AL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J430" s="3"/>
      <c r="AK430" s="3"/>
      <c r="AL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J431" s="3"/>
      <c r="AK431" s="3"/>
      <c r="AL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J432" s="3"/>
      <c r="AK432" s="3"/>
      <c r="AL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J433" s="3"/>
      <c r="AK433" s="3"/>
      <c r="AL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J434" s="3"/>
      <c r="AK434" s="3"/>
      <c r="AL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J435" s="3"/>
      <c r="AK435" s="3"/>
      <c r="AL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J436" s="3"/>
      <c r="AK436" s="3"/>
      <c r="AL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J437" s="3"/>
      <c r="AK437" s="3"/>
      <c r="AL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J438" s="3"/>
      <c r="AK438" s="3"/>
      <c r="AL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J439" s="3"/>
      <c r="AK439" s="3"/>
      <c r="AL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J440" s="3"/>
      <c r="AK440" s="3"/>
      <c r="AL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J441" s="3"/>
      <c r="AK441" s="3"/>
      <c r="AL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J442" s="3"/>
      <c r="AK442" s="3"/>
      <c r="AL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J443" s="3"/>
      <c r="AK443" s="3"/>
      <c r="AL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J444" s="3"/>
      <c r="AK444" s="3"/>
      <c r="AL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J445" s="3"/>
      <c r="AK445" s="3"/>
      <c r="AL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J446" s="3"/>
      <c r="AK446" s="3"/>
      <c r="AL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J447" s="3"/>
      <c r="AK447" s="3"/>
      <c r="AL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J448" s="3"/>
      <c r="AK448" s="3"/>
      <c r="AL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J449" s="3"/>
      <c r="AK449" s="3"/>
      <c r="AL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J450" s="3"/>
      <c r="AK450" s="3"/>
      <c r="AL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J451" s="3"/>
      <c r="AK451" s="3"/>
      <c r="AL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J452" s="3"/>
      <c r="AK452" s="3"/>
      <c r="AL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J453" s="3"/>
      <c r="AK453" s="3"/>
      <c r="AL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J454" s="3"/>
      <c r="AK454" s="3"/>
      <c r="AL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J455" s="3"/>
      <c r="AK455" s="3"/>
      <c r="AL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J456" s="3"/>
      <c r="AK456" s="3"/>
      <c r="AL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J457" s="3"/>
      <c r="AK457" s="3"/>
      <c r="AL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J458" s="3"/>
      <c r="AK458" s="3"/>
      <c r="AL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J459" s="3"/>
      <c r="AK459" s="3"/>
      <c r="AL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J460" s="3"/>
      <c r="AK460" s="3"/>
      <c r="AL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J461" s="3"/>
      <c r="AK461" s="3"/>
      <c r="AL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J462" s="3"/>
      <c r="AK462" s="3"/>
      <c r="AL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J463" s="3"/>
      <c r="AK463" s="3"/>
      <c r="AL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J464" s="3"/>
      <c r="AK464" s="3"/>
      <c r="AL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J465" s="3"/>
      <c r="AK465" s="3"/>
      <c r="AL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J466" s="3"/>
      <c r="AK466" s="3"/>
      <c r="AL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J467" s="3"/>
      <c r="AK467" s="3"/>
      <c r="AL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J468" s="3"/>
      <c r="AK468" s="3"/>
      <c r="AL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J469" s="3"/>
      <c r="AK469" s="3"/>
      <c r="AL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J470" s="3"/>
      <c r="AK470" s="3"/>
      <c r="AL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J471" s="3"/>
      <c r="AK471" s="3"/>
      <c r="AL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J472" s="3"/>
      <c r="AK472" s="3"/>
      <c r="AL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J473" s="3"/>
      <c r="AK473" s="3"/>
      <c r="AL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J474" s="3"/>
      <c r="AK474" s="3"/>
      <c r="AL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J475" s="3"/>
      <c r="AK475" s="3"/>
      <c r="AL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J476" s="3"/>
      <c r="AK476" s="3"/>
      <c r="AL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J477" s="3"/>
      <c r="AK477" s="3"/>
      <c r="AL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J478" s="3"/>
      <c r="AK478" s="3"/>
      <c r="AL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J479" s="3"/>
      <c r="AK479" s="3"/>
      <c r="AL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J480" s="3"/>
      <c r="AK480" s="3"/>
      <c r="AL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J481" s="3"/>
      <c r="AK481" s="3"/>
      <c r="AL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J482" s="3"/>
      <c r="AK482" s="3"/>
      <c r="AL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J483" s="3"/>
      <c r="AK483" s="3"/>
      <c r="AL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J484" s="3"/>
      <c r="AK484" s="3"/>
      <c r="AL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J485" s="3"/>
      <c r="AK485" s="3"/>
      <c r="AL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J486" s="3"/>
      <c r="AK486" s="3"/>
      <c r="AL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J487" s="3"/>
      <c r="AK487" s="3"/>
      <c r="AL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J488" s="3"/>
      <c r="AK488" s="3"/>
      <c r="AL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J489" s="3"/>
      <c r="AK489" s="3"/>
      <c r="AL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J490" s="3"/>
      <c r="AK490" s="3"/>
      <c r="AL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J491" s="3"/>
      <c r="AK491" s="3"/>
      <c r="AL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J492" s="3"/>
      <c r="AK492" s="3"/>
      <c r="AL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J493" s="3"/>
      <c r="AK493" s="3"/>
      <c r="AL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J494" s="3"/>
      <c r="AK494" s="3"/>
      <c r="AL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J495" s="3"/>
      <c r="AK495" s="3"/>
      <c r="AL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J496" s="3"/>
      <c r="AK496" s="3"/>
      <c r="AL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J497" s="3"/>
      <c r="AK497" s="3"/>
      <c r="AL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J498" s="3"/>
      <c r="AK498" s="3"/>
      <c r="AL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J499" s="3"/>
      <c r="AK499" s="3"/>
      <c r="AL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J500" s="3"/>
      <c r="AK500" s="3"/>
      <c r="AL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J501" s="3"/>
      <c r="AK501" s="3"/>
      <c r="AL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J502" s="3"/>
      <c r="AK502" s="3"/>
      <c r="AL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J503" s="3"/>
      <c r="AK503" s="3"/>
      <c r="AL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J504" s="3"/>
      <c r="AK504" s="3"/>
      <c r="AL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J505" s="3"/>
      <c r="AK505" s="3"/>
      <c r="AL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J506" s="3"/>
      <c r="AK506" s="3"/>
      <c r="AL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J507" s="3"/>
      <c r="AK507" s="3"/>
      <c r="AL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J508" s="3"/>
      <c r="AK508" s="3"/>
      <c r="AL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J509" s="3"/>
      <c r="AK509" s="3"/>
      <c r="AL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J510" s="3"/>
      <c r="AK510" s="3"/>
      <c r="AL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J511" s="3"/>
      <c r="AK511" s="3"/>
      <c r="AL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J512" s="3"/>
      <c r="AK512" s="3"/>
      <c r="AL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J513" s="3"/>
      <c r="AK513" s="3"/>
      <c r="AL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J514" s="3"/>
      <c r="AK514" s="3"/>
      <c r="AL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J515" s="3"/>
      <c r="AK515" s="3"/>
      <c r="AL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J516" s="3"/>
      <c r="AK516" s="3"/>
      <c r="AL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J517" s="3"/>
      <c r="AK517" s="3"/>
      <c r="AL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J518" s="3"/>
      <c r="AK518" s="3"/>
      <c r="AL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J519" s="3"/>
      <c r="AK519" s="3"/>
      <c r="AL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J520" s="3"/>
      <c r="AK520" s="3"/>
      <c r="AL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J521" s="3"/>
      <c r="AK521" s="3"/>
      <c r="AL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J522" s="3"/>
      <c r="AK522" s="3"/>
      <c r="AL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J523" s="3"/>
      <c r="AK523" s="3"/>
      <c r="AL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J524" s="3"/>
      <c r="AK524" s="3"/>
      <c r="AL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J525" s="3"/>
      <c r="AK525" s="3"/>
      <c r="AL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J526" s="3"/>
      <c r="AK526" s="3"/>
      <c r="AL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J527" s="3"/>
      <c r="AK527" s="3"/>
      <c r="AL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J528" s="3"/>
      <c r="AK528" s="3"/>
      <c r="AL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J529" s="3"/>
      <c r="AK529" s="3"/>
      <c r="AL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J530" s="3"/>
      <c r="AK530" s="3"/>
      <c r="AL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J531" s="3"/>
      <c r="AK531" s="3"/>
      <c r="AL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J532" s="3"/>
      <c r="AK532" s="3"/>
      <c r="AL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J533" s="3"/>
      <c r="AK533" s="3"/>
      <c r="AL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J534" s="3"/>
      <c r="AK534" s="3"/>
      <c r="AL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J535" s="3"/>
      <c r="AK535" s="3"/>
      <c r="AL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J536" s="3"/>
      <c r="AK536" s="3"/>
      <c r="AL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J537" s="3"/>
      <c r="AK537" s="3"/>
      <c r="AL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J538" s="3"/>
      <c r="AK538" s="3"/>
      <c r="AL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J539" s="3"/>
      <c r="AK539" s="3"/>
      <c r="AL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J540" s="3"/>
      <c r="AK540" s="3"/>
      <c r="AL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J541" s="3"/>
      <c r="AK541" s="3"/>
      <c r="AL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J542" s="3"/>
      <c r="AK542" s="3"/>
      <c r="AL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J543" s="3"/>
      <c r="AK543" s="3"/>
      <c r="AL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J544" s="3"/>
      <c r="AK544" s="3"/>
      <c r="AL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J545" s="3"/>
      <c r="AK545" s="3"/>
      <c r="AL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J546" s="3"/>
      <c r="AK546" s="3"/>
      <c r="AL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J547" s="3"/>
      <c r="AK547" s="3"/>
      <c r="AL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J548" s="3"/>
      <c r="AK548" s="3"/>
      <c r="AL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J549" s="3"/>
      <c r="AK549" s="3"/>
      <c r="AL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J550" s="3"/>
      <c r="AK550" s="3"/>
      <c r="AL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J551" s="3"/>
      <c r="AK551" s="3"/>
      <c r="AL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J552" s="3"/>
      <c r="AK552" s="3"/>
      <c r="AL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J553" s="3"/>
      <c r="AK553" s="3"/>
      <c r="AL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J554" s="3"/>
      <c r="AK554" s="3"/>
      <c r="AL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J555" s="3"/>
      <c r="AK555" s="3"/>
      <c r="AL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J556" s="3"/>
      <c r="AK556" s="3"/>
      <c r="AL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J557" s="3"/>
      <c r="AK557" s="3"/>
      <c r="AL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J558" s="3"/>
      <c r="AK558" s="3"/>
      <c r="AL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J559" s="3"/>
      <c r="AK559" s="3"/>
      <c r="AL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J560" s="3"/>
      <c r="AK560" s="3"/>
      <c r="AL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J561" s="3"/>
      <c r="AK561" s="3"/>
      <c r="AL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J562" s="3"/>
      <c r="AK562" s="3"/>
      <c r="AL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J563" s="3"/>
      <c r="AK563" s="3"/>
      <c r="AL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J564" s="3"/>
      <c r="AK564" s="3"/>
      <c r="AL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J565" s="3"/>
      <c r="AK565" s="3"/>
      <c r="AL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J566" s="3"/>
      <c r="AK566" s="3"/>
      <c r="AL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J567" s="3"/>
      <c r="AK567" s="3"/>
      <c r="AL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J568" s="3"/>
      <c r="AK568" s="3"/>
      <c r="AL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J569" s="3"/>
      <c r="AK569" s="3"/>
      <c r="AL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J570" s="3"/>
      <c r="AK570" s="3"/>
      <c r="AL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J571" s="3"/>
      <c r="AK571" s="3"/>
      <c r="AL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J572" s="3"/>
      <c r="AK572" s="3"/>
      <c r="AL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J573" s="3"/>
      <c r="AK573" s="3"/>
      <c r="AL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J574" s="3"/>
      <c r="AK574" s="3"/>
      <c r="AL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J575" s="3"/>
      <c r="AK575" s="3"/>
      <c r="AL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J576" s="3"/>
      <c r="AK576" s="3"/>
      <c r="AL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J577" s="3"/>
      <c r="AK577" s="3"/>
      <c r="AL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J578" s="3"/>
      <c r="AK578" s="3"/>
      <c r="AL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J579" s="3"/>
      <c r="AK579" s="3"/>
      <c r="AL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J580" s="3"/>
      <c r="AK580" s="3"/>
      <c r="AL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J581" s="3"/>
      <c r="AK581" s="3"/>
      <c r="AL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J582" s="3"/>
      <c r="AK582" s="3"/>
      <c r="AL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J583" s="3"/>
      <c r="AK583" s="3"/>
      <c r="AL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J584" s="3"/>
      <c r="AK584" s="3"/>
      <c r="AL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J585" s="3"/>
      <c r="AK585" s="3"/>
      <c r="AL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J586" s="3"/>
      <c r="AK586" s="3"/>
      <c r="AL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J587" s="3"/>
      <c r="AK587" s="3"/>
      <c r="AL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J588" s="3"/>
      <c r="AK588" s="3"/>
      <c r="AL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J589" s="3"/>
      <c r="AK589" s="3"/>
      <c r="AL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J590" s="3"/>
      <c r="AK590" s="3"/>
      <c r="AL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J591" s="3"/>
      <c r="AK591" s="3"/>
      <c r="AL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J592" s="3"/>
      <c r="AK592" s="3"/>
      <c r="AL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J593" s="3"/>
      <c r="AK593" s="3"/>
      <c r="AL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J594" s="3"/>
      <c r="AK594" s="3"/>
      <c r="AL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J595" s="3"/>
      <c r="AK595" s="3"/>
      <c r="AL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J596" s="3"/>
      <c r="AK596" s="3"/>
      <c r="AL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J597" s="3"/>
      <c r="AK597" s="3"/>
      <c r="AL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J598" s="3"/>
      <c r="AK598" s="3"/>
      <c r="AL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J599" s="3"/>
      <c r="AK599" s="3"/>
      <c r="AL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J600" s="3"/>
      <c r="AK600" s="3"/>
      <c r="AL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J601" s="3"/>
      <c r="AK601" s="3"/>
      <c r="AL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J602" s="3"/>
      <c r="AK602" s="3"/>
      <c r="AL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J603" s="3"/>
      <c r="AK603" s="3"/>
      <c r="AL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J604" s="3"/>
      <c r="AK604" s="3"/>
      <c r="AL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J605" s="3"/>
      <c r="AK605" s="3"/>
      <c r="AL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J606" s="3"/>
      <c r="AK606" s="3"/>
      <c r="AL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J607" s="3"/>
      <c r="AK607" s="3"/>
      <c r="AL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J608" s="3"/>
      <c r="AK608" s="3"/>
      <c r="AL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J609" s="3"/>
      <c r="AK609" s="3"/>
      <c r="AL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J610" s="3"/>
      <c r="AK610" s="3"/>
      <c r="AL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J611" s="3"/>
      <c r="AK611" s="3"/>
      <c r="AL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J612" s="3"/>
      <c r="AK612" s="3"/>
      <c r="AL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J613" s="3"/>
      <c r="AK613" s="3"/>
      <c r="AL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J614" s="3"/>
      <c r="AK614" s="3"/>
      <c r="AL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J615" s="3"/>
      <c r="AK615" s="3"/>
      <c r="AL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J616" s="3"/>
      <c r="AK616" s="3"/>
      <c r="AL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J617" s="3"/>
      <c r="AK617" s="3"/>
      <c r="AL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J618" s="3"/>
      <c r="AK618" s="3"/>
      <c r="AL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J619" s="3"/>
      <c r="AK619" s="3"/>
      <c r="AL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J620" s="3"/>
      <c r="AK620" s="3"/>
      <c r="AL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J621" s="3"/>
      <c r="AK621" s="3"/>
      <c r="AL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J622" s="3"/>
      <c r="AK622" s="3"/>
      <c r="AL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J623" s="3"/>
      <c r="AK623" s="3"/>
      <c r="AL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J624" s="3"/>
      <c r="AK624" s="3"/>
      <c r="AL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J625" s="3"/>
      <c r="AK625" s="3"/>
      <c r="AL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J626" s="3"/>
      <c r="AK626" s="3"/>
      <c r="AL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J627" s="3"/>
      <c r="AK627" s="3"/>
      <c r="AL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J628" s="3"/>
      <c r="AK628" s="3"/>
      <c r="AL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J629" s="3"/>
      <c r="AK629" s="3"/>
      <c r="AL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J630" s="3"/>
      <c r="AK630" s="3"/>
      <c r="AL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J631" s="3"/>
      <c r="AK631" s="3"/>
      <c r="AL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J632" s="3"/>
      <c r="AK632" s="3"/>
      <c r="AL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J633" s="3"/>
      <c r="AK633" s="3"/>
      <c r="AL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J634" s="3"/>
      <c r="AK634" s="3"/>
      <c r="AL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J635" s="3"/>
      <c r="AK635" s="3"/>
      <c r="AL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J636" s="3"/>
      <c r="AK636" s="3"/>
      <c r="AL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J637" s="3"/>
      <c r="AK637" s="3"/>
      <c r="AL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J638" s="3"/>
      <c r="AK638" s="3"/>
      <c r="AL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J639" s="3"/>
      <c r="AK639" s="3"/>
      <c r="AL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J640" s="3"/>
      <c r="AK640" s="3"/>
      <c r="AL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J641" s="3"/>
      <c r="AK641" s="3"/>
      <c r="AL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J642" s="3"/>
      <c r="AK642" s="3"/>
      <c r="AL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J643" s="3"/>
      <c r="AK643" s="3"/>
      <c r="AL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J644" s="3"/>
      <c r="AK644" s="3"/>
      <c r="AL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J645" s="3"/>
      <c r="AK645" s="3"/>
      <c r="AL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J646" s="3"/>
      <c r="AK646" s="3"/>
      <c r="AL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J647" s="3"/>
      <c r="AK647" s="3"/>
      <c r="AL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J648" s="3"/>
      <c r="AK648" s="3"/>
      <c r="AL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J649" s="3"/>
      <c r="AK649" s="3"/>
      <c r="AL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J650" s="3"/>
      <c r="AK650" s="3"/>
      <c r="AL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J651" s="3"/>
      <c r="AK651" s="3"/>
      <c r="AL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J652" s="3"/>
      <c r="AK652" s="3"/>
      <c r="AL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J653" s="3"/>
      <c r="AK653" s="3"/>
      <c r="AL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J654" s="3"/>
      <c r="AK654" s="3"/>
      <c r="AL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J655" s="3"/>
      <c r="AK655" s="3"/>
      <c r="AL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J656" s="3"/>
      <c r="AK656" s="3"/>
      <c r="AL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J657" s="3"/>
      <c r="AK657" s="3"/>
      <c r="AL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J658" s="3"/>
      <c r="AK658" s="3"/>
      <c r="AL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J659" s="3"/>
      <c r="AK659" s="3"/>
      <c r="AL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J660" s="3"/>
      <c r="AK660" s="3"/>
      <c r="AL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J661" s="3"/>
      <c r="AK661" s="3"/>
      <c r="AL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J662" s="3"/>
      <c r="AK662" s="3"/>
      <c r="AL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J663" s="3"/>
      <c r="AK663" s="3"/>
      <c r="AL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J664" s="3"/>
      <c r="AK664" s="3"/>
      <c r="AL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J665" s="3"/>
      <c r="AK665" s="3"/>
      <c r="AL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J666" s="3"/>
      <c r="AK666" s="3"/>
      <c r="AL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J667" s="3"/>
      <c r="AK667" s="3"/>
      <c r="AL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J668" s="3"/>
      <c r="AK668" s="3"/>
      <c r="AL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J669" s="3"/>
      <c r="AK669" s="3"/>
      <c r="AL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J670" s="3"/>
      <c r="AK670" s="3"/>
      <c r="AL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J671" s="3"/>
      <c r="AK671" s="3"/>
      <c r="AL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J672" s="3"/>
      <c r="AK672" s="3"/>
      <c r="AL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J673" s="3"/>
      <c r="AK673" s="3"/>
      <c r="AL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J674" s="3"/>
      <c r="AK674" s="3"/>
      <c r="AL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J675" s="3"/>
      <c r="AK675" s="3"/>
      <c r="AL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J676" s="3"/>
      <c r="AK676" s="3"/>
      <c r="AL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J677" s="3"/>
      <c r="AK677" s="3"/>
      <c r="AL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J678" s="3"/>
      <c r="AK678" s="3"/>
      <c r="AL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J679" s="3"/>
      <c r="AK679" s="3"/>
      <c r="AL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:53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J680" s="3"/>
      <c r="AK680" s="3"/>
      <c r="AL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1" spans="1:53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J681" s="3"/>
      <c r="AK681" s="3"/>
      <c r="AL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</row>
    <row r="682" spans="1:53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J682" s="3"/>
      <c r="AK682" s="3"/>
      <c r="AL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J683" s="3"/>
      <c r="AK683" s="3"/>
      <c r="AL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J684" s="3"/>
      <c r="AK684" s="3"/>
      <c r="AL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J685" s="3"/>
      <c r="AK685" s="3"/>
      <c r="AL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J686" s="3"/>
      <c r="AK686" s="3"/>
      <c r="AL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:53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J687" s="3"/>
      <c r="AK687" s="3"/>
      <c r="AL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:53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J688" s="3"/>
      <c r="AK688" s="3"/>
      <c r="AL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:53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J689" s="3"/>
      <c r="AK689" s="3"/>
      <c r="AL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J690" s="3"/>
      <c r="AK690" s="3"/>
      <c r="AL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J691" s="3"/>
      <c r="AK691" s="3"/>
      <c r="AL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J692" s="3"/>
      <c r="AK692" s="3"/>
      <c r="AL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J693" s="3"/>
      <c r="AK693" s="3"/>
      <c r="AL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:53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J694" s="3"/>
      <c r="AK694" s="3"/>
      <c r="AL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5" spans="1:53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J695" s="3"/>
      <c r="AK695" s="3"/>
      <c r="AL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</row>
    <row r="696" spans="1:53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J696" s="3"/>
      <c r="AK696" s="3"/>
      <c r="AL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</row>
    <row r="697" spans="1:53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J697" s="3"/>
      <c r="AK697" s="3"/>
      <c r="AL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698" spans="1:53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J698" s="3"/>
      <c r="AK698" s="3"/>
      <c r="AL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</row>
    <row r="699" spans="1:53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J699" s="3"/>
      <c r="AK699" s="3"/>
      <c r="AL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</row>
    <row r="700" spans="1:53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J700" s="3"/>
      <c r="AK700" s="3"/>
      <c r="AL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</row>
    <row r="701" spans="1:53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J701" s="3"/>
      <c r="AK701" s="3"/>
      <c r="AL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</row>
    <row r="702" spans="1:53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J702" s="3"/>
      <c r="AK702" s="3"/>
      <c r="AL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</row>
    <row r="703" spans="1:53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J703" s="3"/>
      <c r="AK703" s="3"/>
      <c r="AL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</row>
    <row r="704" spans="1:53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J704" s="3"/>
      <c r="AK704" s="3"/>
      <c r="AL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:53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J705" s="3"/>
      <c r="AK705" s="3"/>
      <c r="AL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:53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J706" s="3"/>
      <c r="AK706" s="3"/>
      <c r="AL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:53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J707" s="3"/>
      <c r="AK707" s="3"/>
      <c r="AL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08" spans="1:53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J708" s="3"/>
      <c r="AK708" s="3"/>
      <c r="AL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</row>
    <row r="709" spans="1:53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J709" s="3"/>
      <c r="AK709" s="3"/>
      <c r="AL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</row>
    <row r="710" spans="1:53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J710" s="3"/>
      <c r="AK710" s="3"/>
      <c r="AL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1" spans="1:53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J711" s="3"/>
      <c r="AK711" s="3"/>
      <c r="AL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</row>
    <row r="712" spans="1:53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J712" s="3"/>
      <c r="AK712" s="3"/>
      <c r="AL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</row>
    <row r="713" spans="1:53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J713" s="3"/>
      <c r="AK713" s="3"/>
      <c r="AL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:53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J714" s="3"/>
      <c r="AK714" s="3"/>
      <c r="AL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:53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J715" s="3"/>
      <c r="AK715" s="3"/>
      <c r="AL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16" spans="1:53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J716" s="3"/>
      <c r="AK716" s="3"/>
      <c r="AL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</row>
    <row r="717" spans="1:53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J717" s="3"/>
      <c r="AK717" s="3"/>
      <c r="AL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</row>
    <row r="718" spans="1:53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J718" s="3"/>
      <c r="AK718" s="3"/>
      <c r="AL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</row>
    <row r="719" spans="1:53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J719" s="3"/>
      <c r="AK719" s="3"/>
      <c r="AL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</row>
    <row r="720" spans="1:53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J720" s="3"/>
      <c r="AK720" s="3"/>
      <c r="AL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</row>
    <row r="721" spans="1:53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J721" s="3"/>
      <c r="AK721" s="3"/>
      <c r="AL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</row>
    <row r="722" spans="1:53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J722" s="3"/>
      <c r="AK722" s="3"/>
      <c r="AL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</row>
    <row r="723" spans="1:53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J723" s="3"/>
      <c r="AK723" s="3"/>
      <c r="AL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:53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J724" s="3"/>
      <c r="AK724" s="3"/>
      <c r="AL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25" spans="1:53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J725" s="3"/>
      <c r="AK725" s="3"/>
      <c r="AL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</row>
    <row r="726" spans="1:53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J726" s="3"/>
      <c r="AK726" s="3"/>
      <c r="AL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</row>
    <row r="727" spans="1:53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J727" s="3"/>
      <c r="AK727" s="3"/>
      <c r="AL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</row>
    <row r="728" spans="1:53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J728" s="3"/>
      <c r="AK728" s="3"/>
      <c r="AL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</row>
    <row r="729" spans="1:53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J729" s="3"/>
      <c r="AK729" s="3"/>
      <c r="AL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</row>
    <row r="730" spans="1:53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J730" s="3"/>
      <c r="AK730" s="3"/>
      <c r="AL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</row>
    <row r="731" spans="1:53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J731" s="3"/>
      <c r="AK731" s="3"/>
      <c r="AL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</row>
    <row r="732" spans="1:53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J732" s="3"/>
      <c r="AK732" s="3"/>
      <c r="AL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</row>
    <row r="733" spans="1:53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J733" s="3"/>
      <c r="AK733" s="3"/>
      <c r="AL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</row>
    <row r="734" spans="1:53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J734" s="3"/>
      <c r="AK734" s="3"/>
      <c r="AL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</row>
    <row r="735" spans="1:53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J735" s="3"/>
      <c r="AK735" s="3"/>
      <c r="AL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</row>
    <row r="736" spans="1:53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J736" s="3"/>
      <c r="AK736" s="3"/>
      <c r="AL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</row>
    <row r="737" spans="1:53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J737" s="3"/>
      <c r="AK737" s="3"/>
      <c r="AL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</row>
    <row r="738" spans="1:53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J738" s="3"/>
      <c r="AK738" s="3"/>
      <c r="AL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</row>
    <row r="739" spans="1:53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J739" s="3"/>
      <c r="AK739" s="3"/>
      <c r="AL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</row>
    <row r="740" spans="1:53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J740" s="3"/>
      <c r="AK740" s="3"/>
      <c r="AL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</row>
    <row r="741" spans="1:53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J741" s="3"/>
      <c r="AK741" s="3"/>
      <c r="AL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</row>
    <row r="742" spans="1:53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J742" s="3"/>
      <c r="AK742" s="3"/>
      <c r="AL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</row>
    <row r="743" spans="1:53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J743" s="3"/>
      <c r="AK743" s="3"/>
      <c r="AL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</row>
    <row r="744" spans="1:53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J744" s="3"/>
      <c r="AK744" s="3"/>
      <c r="AL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</row>
    <row r="745" spans="1:53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J745" s="3"/>
      <c r="AK745" s="3"/>
      <c r="AL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</row>
    <row r="746" spans="1:53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J746" s="3"/>
      <c r="AK746" s="3"/>
      <c r="AL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</row>
    <row r="747" spans="1:53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J747" s="3"/>
      <c r="AK747" s="3"/>
      <c r="AL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</row>
    <row r="748" spans="1:53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J748" s="3"/>
      <c r="AK748" s="3"/>
      <c r="AL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J749" s="3"/>
      <c r="AK749" s="3"/>
      <c r="AL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</row>
    <row r="750" spans="1:53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J750" s="3"/>
      <c r="AK750" s="3"/>
      <c r="AL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</row>
    <row r="751" spans="1:53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J751" s="3"/>
      <c r="AK751" s="3"/>
      <c r="AL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:53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J752" s="3"/>
      <c r="AK752" s="3"/>
      <c r="AL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:53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J753" s="3"/>
      <c r="AK753" s="3"/>
      <c r="AL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:53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J754" s="3"/>
      <c r="AK754" s="3"/>
      <c r="AL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55" spans="1:53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J755" s="3"/>
      <c r="AK755" s="3"/>
      <c r="AL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</row>
    <row r="756" spans="1:53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J756" s="3"/>
      <c r="AK756" s="3"/>
      <c r="AL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</row>
    <row r="757" spans="1:53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J757" s="3"/>
      <c r="AK757" s="3"/>
      <c r="AL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</row>
    <row r="758" spans="1:53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J758" s="3"/>
      <c r="AK758" s="3"/>
      <c r="AL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</row>
    <row r="759" spans="1:53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J759" s="3"/>
      <c r="AK759" s="3"/>
      <c r="AL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</row>
    <row r="760" spans="1:53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J760" s="3"/>
      <c r="AK760" s="3"/>
      <c r="AL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</row>
    <row r="761" spans="1:53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J761" s="3"/>
      <c r="AK761" s="3"/>
      <c r="AL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</row>
    <row r="762" spans="1:53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J762" s="3"/>
      <c r="AK762" s="3"/>
      <c r="AL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</row>
    <row r="763" spans="1:53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J763" s="3"/>
      <c r="AK763" s="3"/>
      <c r="AL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</row>
    <row r="764" spans="1:53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J764" s="3"/>
      <c r="AK764" s="3"/>
      <c r="AL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</row>
    <row r="765" spans="1:53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J765" s="3"/>
      <c r="AK765" s="3"/>
      <c r="AL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</row>
    <row r="766" spans="1:53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J766" s="3"/>
      <c r="AK766" s="3"/>
      <c r="AL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</row>
    <row r="767" spans="1:53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J767" s="3"/>
      <c r="AK767" s="3"/>
      <c r="AL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</row>
    <row r="768" spans="1:53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J768" s="3"/>
      <c r="AK768" s="3"/>
      <c r="AL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</row>
    <row r="769" spans="1:53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J769" s="3"/>
      <c r="AK769" s="3"/>
      <c r="AL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</row>
    <row r="770" spans="1:53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J770" s="3"/>
      <c r="AK770" s="3"/>
      <c r="AL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</row>
    <row r="771" spans="1:53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J771" s="3"/>
      <c r="AK771" s="3"/>
      <c r="AL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</row>
    <row r="772" spans="1:53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J772" s="3"/>
      <c r="AK772" s="3"/>
      <c r="AL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</row>
    <row r="773" spans="1:53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J773" s="3"/>
      <c r="AK773" s="3"/>
      <c r="AL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</row>
    <row r="774" spans="1:53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J774" s="3"/>
      <c r="AK774" s="3"/>
      <c r="AL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</row>
    <row r="775" spans="1:53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J775" s="3"/>
      <c r="AK775" s="3"/>
      <c r="AL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</row>
    <row r="776" spans="1:53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J776" s="3"/>
      <c r="AK776" s="3"/>
      <c r="AL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</row>
    <row r="777" spans="1:53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J777" s="3"/>
      <c r="AK777" s="3"/>
      <c r="AL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</row>
    <row r="778" spans="1:53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J778" s="3"/>
      <c r="AK778" s="3"/>
      <c r="AL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</row>
    <row r="779" spans="1:53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J779" s="3"/>
      <c r="AK779" s="3"/>
      <c r="AL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</row>
    <row r="780" spans="1:53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J780" s="3"/>
      <c r="AK780" s="3"/>
      <c r="AL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</row>
    <row r="781" spans="1:53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J781" s="3"/>
      <c r="AK781" s="3"/>
      <c r="AL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</row>
    <row r="782" spans="1:53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J782" s="3"/>
      <c r="AK782" s="3"/>
      <c r="AL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:53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J783" s="3"/>
      <c r="AK783" s="3"/>
      <c r="AL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4" spans="1:53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J784" s="3"/>
      <c r="AK784" s="3"/>
      <c r="AL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</row>
    <row r="785" spans="1:53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J785" s="3"/>
      <c r="AK785" s="3"/>
      <c r="AL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:53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J786" s="3"/>
      <c r="AK786" s="3"/>
      <c r="AL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:53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J787" s="3"/>
      <c r="AK787" s="3"/>
      <c r="AL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:53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J788" s="3"/>
      <c r="AK788" s="3"/>
      <c r="AL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:53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J789" s="3"/>
      <c r="AK789" s="3"/>
      <c r="AL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0" spans="1:53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J790" s="3"/>
      <c r="AK790" s="3"/>
      <c r="AL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</row>
    <row r="791" spans="1:53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J791" s="3"/>
      <c r="AK791" s="3"/>
      <c r="AL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792" spans="1:53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J792" s="3"/>
      <c r="AK792" s="3"/>
      <c r="AL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</row>
    <row r="793" spans="1:53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J793" s="3"/>
      <c r="AK793" s="3"/>
      <c r="AL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</row>
    <row r="794" spans="1:53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J794" s="3"/>
      <c r="AK794" s="3"/>
      <c r="AL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</row>
    <row r="795" spans="1:53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J795" s="3"/>
      <c r="AK795" s="3"/>
      <c r="AL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</row>
    <row r="796" spans="1:53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J796" s="3"/>
      <c r="AK796" s="3"/>
      <c r="AL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</row>
    <row r="797" spans="1:53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J797" s="3"/>
      <c r="AK797" s="3"/>
      <c r="AL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</row>
    <row r="798" spans="1:53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J798" s="3"/>
      <c r="AK798" s="3"/>
      <c r="AL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</row>
    <row r="799" spans="1:53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J799" s="3"/>
      <c r="AK799" s="3"/>
      <c r="AL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</row>
    <row r="800" spans="1:53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J800" s="3"/>
      <c r="AK800" s="3"/>
      <c r="AL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</row>
    <row r="801" spans="1:53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J801" s="3"/>
      <c r="AK801" s="3"/>
      <c r="AL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</row>
    <row r="802" spans="1:53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J802" s="3"/>
      <c r="AK802" s="3"/>
      <c r="AL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</row>
    <row r="803" spans="1:53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J803" s="3"/>
      <c r="AK803" s="3"/>
      <c r="AL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4" spans="1:53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J804" s="3"/>
      <c r="AK804" s="3"/>
      <c r="AL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</row>
    <row r="805" spans="1:53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J805" s="3"/>
      <c r="AK805" s="3"/>
      <c r="AL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</row>
    <row r="806" spans="1:53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J806" s="3"/>
      <c r="AK806" s="3"/>
      <c r="AL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:53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J807" s="3"/>
      <c r="AK807" s="3"/>
      <c r="AL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:53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J808" s="3"/>
      <c r="AK808" s="3"/>
      <c r="AL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09" spans="1:53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J809" s="3"/>
      <c r="AK809" s="3"/>
      <c r="AL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</row>
    <row r="810" spans="1:53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J810" s="3"/>
      <c r="AK810" s="3"/>
      <c r="AL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</row>
    <row r="811" spans="1:53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J811" s="3"/>
      <c r="AK811" s="3"/>
      <c r="AL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12" spans="1:53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J812" s="3"/>
      <c r="AK812" s="3"/>
      <c r="AL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</row>
    <row r="813" spans="1:53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J813" s="3"/>
      <c r="AK813" s="3"/>
      <c r="AL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</row>
    <row r="814" spans="1:53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J814" s="3"/>
      <c r="AK814" s="3"/>
      <c r="AL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</row>
    <row r="815" spans="1:53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J815" s="3"/>
      <c r="AK815" s="3"/>
      <c r="AL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</row>
    <row r="816" spans="1:53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J816" s="3"/>
      <c r="AK816" s="3"/>
      <c r="AL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</row>
    <row r="817" spans="1:53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J817" s="3"/>
      <c r="AK817" s="3"/>
      <c r="AL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</row>
    <row r="818" spans="1:53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J818" s="3"/>
      <c r="AK818" s="3"/>
      <c r="AL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</row>
    <row r="819" spans="1:53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J819" s="3"/>
      <c r="AK819" s="3"/>
      <c r="AL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</row>
    <row r="820" spans="1:53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J820" s="3"/>
      <c r="AK820" s="3"/>
      <c r="AL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</row>
    <row r="821" spans="1:53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J821" s="3"/>
      <c r="AK821" s="3"/>
      <c r="AL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</row>
    <row r="822" spans="1:53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J822" s="3"/>
      <c r="AK822" s="3"/>
      <c r="AL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</row>
    <row r="823" spans="1:53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J823" s="3"/>
      <c r="AK823" s="3"/>
      <c r="AL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</row>
    <row r="824" spans="1:53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J824" s="3"/>
      <c r="AK824" s="3"/>
      <c r="AL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</row>
    <row r="825" spans="1:53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J825" s="3"/>
      <c r="AK825" s="3"/>
      <c r="AL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</row>
    <row r="826" spans="1:53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J826" s="3"/>
      <c r="AK826" s="3"/>
      <c r="AL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</row>
    <row r="827" spans="1:53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J827" s="3"/>
      <c r="AK827" s="3"/>
      <c r="AL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</row>
    <row r="828" spans="1:53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J828" s="3"/>
      <c r="AK828" s="3"/>
      <c r="AL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</row>
    <row r="829" spans="1:53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J829" s="3"/>
      <c r="AK829" s="3"/>
      <c r="AL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:53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J830" s="3"/>
      <c r="AK830" s="3"/>
      <c r="AL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1" spans="1:53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J831" s="3"/>
      <c r="AK831" s="3"/>
      <c r="AL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</row>
    <row r="832" spans="1:53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J832" s="3"/>
      <c r="AK832" s="3"/>
      <c r="AL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:53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J833" s="3"/>
      <c r="AK833" s="3"/>
      <c r="AL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:53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J834" s="3"/>
      <c r="AK834" s="3"/>
      <c r="AL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5" spans="1:53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J835" s="3"/>
      <c r="AK835" s="3"/>
      <c r="AL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</row>
    <row r="836" spans="1:53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J836" s="3"/>
      <c r="AK836" s="3"/>
      <c r="AL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:53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J837" s="3"/>
      <c r="AK837" s="3"/>
      <c r="AL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38" spans="1:53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J838" s="3"/>
      <c r="AK838" s="3"/>
      <c r="AL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</row>
    <row r="839" spans="1:53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J839" s="3"/>
      <c r="AK839" s="3"/>
      <c r="AL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</row>
    <row r="840" spans="1:53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J840" s="3"/>
      <c r="AK840" s="3"/>
      <c r="AL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1" spans="1:53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J841" s="3"/>
      <c r="AK841" s="3"/>
      <c r="AL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</row>
    <row r="842" spans="1:53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J842" s="3"/>
      <c r="AK842" s="3"/>
      <c r="AL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843" spans="1:53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J843" s="3"/>
      <c r="AK843" s="3"/>
      <c r="AL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</row>
    <row r="844" spans="1:53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J844" s="3"/>
      <c r="AK844" s="3"/>
      <c r="AL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</row>
    <row r="845" spans="1:53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J845" s="3"/>
      <c r="AK845" s="3"/>
      <c r="AL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</row>
    <row r="846" spans="1:53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J846" s="3"/>
      <c r="AK846" s="3"/>
      <c r="AL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</row>
    <row r="847" spans="1:53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J847" s="3"/>
      <c r="AK847" s="3"/>
      <c r="AL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</row>
    <row r="848" spans="1:53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J848" s="3"/>
      <c r="AK848" s="3"/>
      <c r="AL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</row>
    <row r="849" spans="1:53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J849" s="3"/>
      <c r="AK849" s="3"/>
      <c r="AL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</row>
    <row r="850" spans="1:53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J850" s="3"/>
      <c r="AK850" s="3"/>
      <c r="AL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</row>
    <row r="851" spans="1:53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J851" s="3"/>
      <c r="AK851" s="3"/>
      <c r="AL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</row>
    <row r="852" spans="1:53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J852" s="3"/>
      <c r="AK852" s="3"/>
      <c r="AL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</row>
    <row r="853" spans="1:53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J853" s="3"/>
      <c r="AK853" s="3"/>
      <c r="AL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</row>
    <row r="854" spans="1:53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J854" s="3"/>
      <c r="AK854" s="3"/>
      <c r="AL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</row>
    <row r="855" spans="1:53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J855" s="3"/>
      <c r="AK855" s="3"/>
      <c r="AL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</row>
    <row r="856" spans="1:53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J856" s="3"/>
      <c r="AK856" s="3"/>
      <c r="AL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</row>
    <row r="857" spans="1:53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J857" s="3"/>
      <c r="AK857" s="3"/>
      <c r="AL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</row>
    <row r="858" spans="1:53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J858" s="3"/>
      <c r="AK858" s="3"/>
      <c r="AL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</row>
    <row r="859" spans="1:53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J859" s="3"/>
      <c r="AK859" s="3"/>
      <c r="AL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</row>
    <row r="860" spans="1:53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J860" s="3"/>
      <c r="AK860" s="3"/>
      <c r="AL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</row>
    <row r="861" spans="1:53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J861" s="3"/>
      <c r="AK861" s="3"/>
      <c r="AL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</row>
    <row r="862" spans="1:53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J862" s="3"/>
      <c r="AK862" s="3"/>
      <c r="AL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</row>
    <row r="863" spans="1:53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J863" s="3"/>
      <c r="AK863" s="3"/>
      <c r="AL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</row>
    <row r="864" spans="1:53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J864" s="3"/>
      <c r="AK864" s="3"/>
      <c r="AL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</row>
    <row r="865" spans="1:53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J865" s="3"/>
      <c r="AK865" s="3"/>
      <c r="AL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</row>
    <row r="866" spans="1:53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J866" s="3"/>
      <c r="AK866" s="3"/>
      <c r="AL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</row>
    <row r="867" spans="1:53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J867" s="3"/>
      <c r="AK867" s="3"/>
      <c r="AL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</row>
    <row r="868" spans="1:53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J868" s="3"/>
      <c r="AK868" s="3"/>
      <c r="AL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</row>
    <row r="869" spans="1:53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J869" s="3"/>
      <c r="AK869" s="3"/>
      <c r="AL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</row>
    <row r="870" spans="1:53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J870" s="3"/>
      <c r="AK870" s="3"/>
      <c r="AL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</row>
    <row r="871" spans="1:53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J871" s="3"/>
      <c r="AK871" s="3"/>
      <c r="AL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</row>
    <row r="872" spans="1:53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J872" s="3"/>
      <c r="AK872" s="3"/>
      <c r="AL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</row>
    <row r="873" spans="1:53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J873" s="3"/>
      <c r="AK873" s="3"/>
      <c r="AL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</row>
    <row r="874" spans="1:53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J874" s="3"/>
      <c r="AK874" s="3"/>
      <c r="AL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</row>
    <row r="875" spans="1:53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J875" s="3"/>
      <c r="AK875" s="3"/>
      <c r="AL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</row>
    <row r="876" spans="1:53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J876" s="3"/>
      <c r="AK876" s="3"/>
      <c r="AL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</row>
    <row r="877" spans="1:53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J877" s="3"/>
      <c r="AK877" s="3"/>
      <c r="AL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</row>
    <row r="878" spans="1:53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J878" s="3"/>
      <c r="AK878" s="3"/>
      <c r="AL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</row>
    <row r="879" spans="1:53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J879" s="3"/>
      <c r="AK879" s="3"/>
      <c r="AL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</row>
    <row r="880" spans="1:53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J880" s="3"/>
      <c r="AK880" s="3"/>
      <c r="AL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</row>
    <row r="881" spans="1:53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J881" s="3"/>
      <c r="AK881" s="3"/>
      <c r="AL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</row>
    <row r="882" spans="1:53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J882" s="3"/>
      <c r="AK882" s="3"/>
      <c r="AL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</row>
    <row r="883" spans="1:53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J883" s="3"/>
      <c r="AK883" s="3"/>
      <c r="AL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</row>
    <row r="884" spans="1:53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J884" s="3"/>
      <c r="AK884" s="3"/>
      <c r="AL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</row>
    <row r="885" spans="1:53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J885" s="3"/>
      <c r="AK885" s="3"/>
      <c r="AL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</row>
    <row r="886" spans="1:53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J886" s="3"/>
      <c r="AK886" s="3"/>
      <c r="AL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</row>
    <row r="887" spans="1:53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J887" s="3"/>
      <c r="AK887" s="3"/>
      <c r="AL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</row>
    <row r="888" spans="1:53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J888" s="3"/>
      <c r="AK888" s="3"/>
      <c r="AL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</row>
    <row r="889" spans="1:53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J889" s="3"/>
      <c r="AK889" s="3"/>
      <c r="AL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</row>
    <row r="890" spans="1:53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J890" s="3"/>
      <c r="AK890" s="3"/>
      <c r="AL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</row>
    <row r="891" spans="1:53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J891" s="3"/>
      <c r="AK891" s="3"/>
      <c r="AL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</row>
    <row r="892" spans="1:53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J892" s="3"/>
      <c r="AK892" s="3"/>
      <c r="AL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</row>
    <row r="893" spans="1:53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J893" s="3"/>
      <c r="AK893" s="3"/>
      <c r="AL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</row>
    <row r="894" spans="1:53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J894" s="3"/>
      <c r="AK894" s="3"/>
      <c r="AL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</row>
    <row r="895" spans="1:53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J895" s="3"/>
      <c r="AK895" s="3"/>
      <c r="AL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</row>
    <row r="896" spans="1:53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J896" s="3"/>
      <c r="AK896" s="3"/>
      <c r="AL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</row>
    <row r="897" spans="1:53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J897" s="3"/>
      <c r="AK897" s="3"/>
      <c r="AL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</row>
    <row r="898" spans="1:53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J898" s="3"/>
      <c r="AK898" s="3"/>
      <c r="AL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</row>
    <row r="899" spans="1:53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J899" s="3"/>
      <c r="AK899" s="3"/>
      <c r="AL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</row>
    <row r="900" spans="1:53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J900" s="3"/>
      <c r="AK900" s="3"/>
      <c r="AL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</row>
    <row r="901" spans="1:53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J901" s="3"/>
      <c r="AK901" s="3"/>
      <c r="AL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</row>
    <row r="902" spans="1:53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J902" s="3"/>
      <c r="AK902" s="3"/>
      <c r="AL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</row>
    <row r="903" spans="1:53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J903" s="3"/>
      <c r="AK903" s="3"/>
      <c r="AL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</row>
    <row r="904" spans="1:53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J904" s="3"/>
      <c r="AK904" s="3"/>
      <c r="AL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</row>
    <row r="905" spans="1:53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J905" s="3"/>
      <c r="AK905" s="3"/>
      <c r="AL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:53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J906" s="3"/>
      <c r="AK906" s="3"/>
      <c r="AL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:53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J907" s="3"/>
      <c r="AK907" s="3"/>
      <c r="AL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:53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J908" s="3"/>
      <c r="AK908" s="3"/>
      <c r="AL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:53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J909" s="3"/>
      <c r="AK909" s="3"/>
      <c r="AL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:53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J910" s="3"/>
      <c r="AK910" s="3"/>
      <c r="AL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1" spans="1:53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J911" s="3"/>
      <c r="AK911" s="3"/>
      <c r="AL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</row>
    <row r="912" spans="1:53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J912" s="3"/>
      <c r="AK912" s="3"/>
      <c r="AL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</row>
    <row r="913" spans="1:53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J913" s="3"/>
      <c r="AK913" s="3"/>
      <c r="AL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</row>
    <row r="914" spans="1:53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J914" s="3"/>
      <c r="AK914" s="3"/>
      <c r="AL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5" spans="1:53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J915" s="3"/>
      <c r="AK915" s="3"/>
      <c r="AL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</row>
    <row r="916" spans="1:53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J916" s="3"/>
      <c r="AK916" s="3"/>
      <c r="AL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</row>
    <row r="917" spans="1:53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J917" s="3"/>
      <c r="AK917" s="3"/>
      <c r="AL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:53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J918" s="3"/>
      <c r="AK918" s="3"/>
      <c r="AL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:53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J919" s="3"/>
      <c r="AK919" s="3"/>
      <c r="AL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0" spans="1:53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J920" s="3"/>
      <c r="AK920" s="3"/>
      <c r="AL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</row>
    <row r="921" spans="1:53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J921" s="3"/>
      <c r="AK921" s="3"/>
      <c r="AL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</row>
    <row r="922" spans="1:53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J922" s="3"/>
      <c r="AK922" s="3"/>
      <c r="AL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:53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J923" s="3"/>
      <c r="AK923" s="3"/>
      <c r="AL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:53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J924" s="3"/>
      <c r="AK924" s="3"/>
      <c r="AL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:53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J925" s="3"/>
      <c r="AK925" s="3"/>
      <c r="AL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:53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J926" s="3"/>
      <c r="AK926" s="3"/>
      <c r="AL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:53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J927" s="3"/>
      <c r="AK927" s="3"/>
      <c r="AL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:53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J928" s="3"/>
      <c r="AK928" s="3"/>
      <c r="AL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29" spans="1:53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J929" s="3"/>
      <c r="AK929" s="3"/>
      <c r="AL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</row>
    <row r="930" spans="1:53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J930" s="3"/>
      <c r="AK930" s="3"/>
      <c r="AL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</row>
    <row r="931" spans="1:53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J931" s="3"/>
      <c r="AK931" s="3"/>
      <c r="AL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</row>
    <row r="932" spans="1:53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J932" s="3"/>
      <c r="AK932" s="3"/>
      <c r="AL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</row>
    <row r="933" spans="1:53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J933" s="3"/>
      <c r="AK933" s="3"/>
      <c r="AL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</row>
    <row r="934" spans="1:53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J934" s="3"/>
      <c r="AK934" s="3"/>
      <c r="AL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</row>
    <row r="935" spans="1:53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J935" s="3"/>
      <c r="AK935" s="3"/>
      <c r="AL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</row>
    <row r="936" spans="1:53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J936" s="3"/>
      <c r="AK936" s="3"/>
      <c r="AL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</row>
    <row r="937" spans="1:53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J937" s="3"/>
      <c r="AK937" s="3"/>
      <c r="AL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:53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J938" s="3"/>
      <c r="AK938" s="3"/>
      <c r="AL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:53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J939" s="3"/>
      <c r="AK939" s="3"/>
      <c r="AL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0" spans="1:53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J940" s="3"/>
      <c r="AK940" s="3"/>
      <c r="AL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</row>
    <row r="941" spans="1:53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J941" s="3"/>
      <c r="AK941" s="3"/>
      <c r="AL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</row>
    <row r="942" spans="1:53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J942" s="3"/>
      <c r="AK942" s="3"/>
      <c r="AL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</row>
    <row r="943" spans="1:53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J943" s="3"/>
      <c r="AK943" s="3"/>
      <c r="AL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4" spans="1:53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J944" s="3"/>
      <c r="AK944" s="3"/>
      <c r="AL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</row>
    <row r="945" spans="1:53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J945" s="3"/>
      <c r="AK945" s="3"/>
      <c r="AL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</row>
    <row r="946" spans="1:53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J946" s="3"/>
      <c r="AK946" s="3"/>
      <c r="AL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:53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J947" s="3"/>
      <c r="AK947" s="3"/>
      <c r="AL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:53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J948" s="3"/>
      <c r="AK948" s="3"/>
      <c r="AL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49" spans="1:53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J949" s="3"/>
      <c r="AK949" s="3"/>
      <c r="AL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</row>
    <row r="950" spans="1:53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J950" s="3"/>
      <c r="AK950" s="3"/>
      <c r="AL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</row>
    <row r="951" spans="1:53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J951" s="3"/>
      <c r="AK951" s="3"/>
      <c r="AL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:53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J952" s="3"/>
      <c r="AK952" s="3"/>
      <c r="AL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:53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J953" s="3"/>
      <c r="AK953" s="3"/>
      <c r="AL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:53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J954" s="3"/>
      <c r="AK954" s="3"/>
      <c r="AL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:53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J955" s="3"/>
      <c r="AK955" s="3"/>
      <c r="AL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:53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J956" s="3"/>
      <c r="AK956" s="3"/>
      <c r="AL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:53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J957" s="3"/>
      <c r="AK957" s="3"/>
      <c r="AL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:53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J958" s="3"/>
      <c r="AK958" s="3"/>
      <c r="AL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59" spans="1:53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J959" s="3"/>
      <c r="AK959" s="3"/>
      <c r="AL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</row>
    <row r="960" spans="1:53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J960" s="3"/>
      <c r="AK960" s="3"/>
      <c r="AL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</row>
    <row r="961" spans="1:53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J961" s="3"/>
      <c r="AK961" s="3"/>
      <c r="AL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</row>
    <row r="962" spans="1:53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J962" s="3"/>
      <c r="AK962" s="3"/>
      <c r="AL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3" spans="1:53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J963" s="3"/>
      <c r="AK963" s="3"/>
      <c r="AL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</row>
    <row r="964" spans="1:53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J964" s="3"/>
      <c r="AK964" s="3"/>
      <c r="AL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</row>
    <row r="965" spans="1:53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J965" s="3"/>
      <c r="AK965" s="3"/>
      <c r="AL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</row>
    <row r="966" spans="1:53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J966" s="3"/>
      <c r="AK966" s="3"/>
      <c r="AL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:53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J967" s="3"/>
      <c r="AK967" s="3"/>
      <c r="AL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68" spans="1:53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J968" s="3"/>
      <c r="AK968" s="3"/>
      <c r="AL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</row>
    <row r="969" spans="1:53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J969" s="3"/>
      <c r="AK969" s="3"/>
      <c r="AL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</row>
    <row r="970" spans="1:53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J970" s="3"/>
      <c r="AK970" s="3"/>
      <c r="AL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</row>
    <row r="971" spans="1:53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J971" s="3"/>
      <c r="AK971" s="3"/>
      <c r="AL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</row>
    <row r="972" spans="1:53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J972" s="3"/>
      <c r="AK972" s="3"/>
      <c r="AL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</row>
    <row r="973" spans="1:53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J973" s="3"/>
      <c r="AK973" s="3"/>
      <c r="AL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</row>
    <row r="974" spans="1:53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J974" s="3"/>
      <c r="AK974" s="3"/>
      <c r="AL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</row>
    <row r="975" spans="1:53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J975" s="3"/>
      <c r="AK975" s="3"/>
      <c r="AL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</row>
    <row r="976" spans="1:53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J976" s="3"/>
      <c r="AK976" s="3"/>
      <c r="AL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977" spans="1:53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J977" s="3"/>
      <c r="AK977" s="3"/>
      <c r="AL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</row>
    <row r="978" spans="1:53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J978" s="3"/>
      <c r="AK978" s="3"/>
      <c r="AL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</row>
    <row r="979" spans="1:53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J979" s="3"/>
      <c r="AK979" s="3"/>
      <c r="AL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</row>
    <row r="980" spans="1:53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J980" s="3"/>
      <c r="AK980" s="3"/>
      <c r="AL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</row>
    <row r="981" spans="1:53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J981" s="3"/>
      <c r="AK981" s="3"/>
      <c r="AL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</row>
    <row r="982" spans="1:53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J982" s="3"/>
      <c r="AK982" s="3"/>
      <c r="AL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</row>
    <row r="983" spans="1:53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J983" s="3"/>
      <c r="AK983" s="3"/>
      <c r="AL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</row>
    <row r="984" spans="1:53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J984" s="3"/>
      <c r="AK984" s="3"/>
      <c r="AL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</row>
    <row r="985" spans="1:53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J985" s="3"/>
      <c r="AK985" s="3"/>
      <c r="AL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</row>
    <row r="986" spans="1:53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J986" s="3"/>
      <c r="AK986" s="3"/>
      <c r="AL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</row>
    <row r="987" spans="1:53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J987" s="3"/>
      <c r="AK987" s="3"/>
      <c r="AL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</row>
    <row r="988" spans="1:53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J988" s="3"/>
      <c r="AK988" s="3"/>
      <c r="AL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</row>
    <row r="989" spans="1:53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J989" s="3"/>
      <c r="AK989" s="3"/>
      <c r="AL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</row>
    <row r="990" spans="1:53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J990" s="3"/>
      <c r="AK990" s="3"/>
      <c r="AL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</row>
    <row r="991" spans="1:53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J991" s="3"/>
      <c r="AK991" s="3"/>
      <c r="AL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</row>
    <row r="992" spans="1:53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J992" s="3"/>
      <c r="AK992" s="3"/>
      <c r="AL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</row>
    <row r="993" spans="1:53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J993" s="3"/>
      <c r="AK993" s="3"/>
      <c r="AL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</row>
    <row r="994" spans="1:53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J994" s="3"/>
      <c r="AK994" s="3"/>
      <c r="AL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</row>
    <row r="995" spans="1:53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J995" s="3"/>
      <c r="AK995" s="3"/>
      <c r="AL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</row>
    <row r="996" spans="1:53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J996" s="3"/>
      <c r="AK996" s="3"/>
      <c r="AL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</row>
    <row r="997" spans="1:53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J997" s="3"/>
      <c r="AK997" s="3"/>
      <c r="AL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</row>
    <row r="998" spans="1:53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J998" s="3"/>
      <c r="AK998" s="3"/>
      <c r="AL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</row>
    <row r="999" spans="1:53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J999" s="3"/>
      <c r="AK999" s="3"/>
      <c r="AL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</row>
    <row r="1000" spans="1:53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J1000" s="3"/>
      <c r="AK1000" s="3"/>
      <c r="AL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</row>
    <row r="1001" spans="1:53" ht="13.2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J1001" s="3"/>
      <c r="AK1001" s="3"/>
      <c r="AL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</row>
    <row r="1002" spans="1:53" ht="13.2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J1002" s="3"/>
      <c r="AK1002" s="3"/>
      <c r="AL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</row>
    <row r="1003" spans="1:53" ht="13.2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J1003" s="3"/>
      <c r="AK1003" s="3"/>
      <c r="AL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</row>
    <row r="1004" spans="1:53" ht="13.2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J1004" s="3"/>
      <c r="AK1004" s="3"/>
      <c r="AL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</row>
    <row r="1005" spans="1:53" ht="13.2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J1005" s="3"/>
      <c r="AK1005" s="3"/>
      <c r="AL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06" spans="1:53" ht="13.2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J1006" s="3"/>
      <c r="AK1006" s="3"/>
      <c r="AL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</row>
    <row r="1007" spans="1:53" ht="13.2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J1007" s="3"/>
      <c r="AK1007" s="3"/>
      <c r="AL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</row>
    <row r="1008" spans="1:53" ht="13.2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J1008" s="3"/>
      <c r="AK1008" s="3"/>
      <c r="AL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</row>
    <row r="1009" spans="1:53" ht="13.2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J1009" s="3"/>
      <c r="AK1009" s="3"/>
      <c r="AL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</row>
    <row r="1010" spans="1:53" ht="13.2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J1010" s="3"/>
      <c r="AK1010" s="3"/>
      <c r="AL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</row>
    <row r="1011" spans="1:53" ht="13.2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J1011" s="3"/>
      <c r="AK1011" s="3"/>
      <c r="AL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</row>
    <row r="1012" spans="1:53" ht="13.2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J1012" s="3"/>
      <c r="AK1012" s="3"/>
      <c r="AL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</row>
    <row r="1013" spans="1:53" ht="13.2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J1013" s="3"/>
      <c r="AK1013" s="3"/>
      <c r="AL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</row>
    <row r="1014" spans="1:53" ht="13.2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J1014" s="3"/>
      <c r="AK1014" s="3"/>
      <c r="AL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</row>
    <row r="1015" spans="1:53" ht="13.2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J1015" s="3"/>
      <c r="AK1015" s="3"/>
      <c r="AL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</row>
    <row r="1016" spans="1:53" ht="13.2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J1016" s="3"/>
      <c r="AK1016" s="3"/>
      <c r="AL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</row>
    <row r="1017" spans="1:53" ht="13.2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J1017" s="3"/>
      <c r="AK1017" s="3"/>
      <c r="AL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:53" ht="13.2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J1018" s="3"/>
      <c r="AK1018" s="3"/>
      <c r="AL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:53" ht="13.2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J1019" s="3"/>
      <c r="AK1019" s="3"/>
      <c r="AL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0" spans="1:53" ht="13.2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J1020" s="3"/>
      <c r="AK1020" s="3"/>
      <c r="AL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</row>
    <row r="1021" spans="1:53" ht="13.2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J1021" s="3"/>
      <c r="AK1021" s="3"/>
      <c r="AL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2" spans="1:53" ht="13.2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J1022" s="3"/>
      <c r="AK1022" s="3"/>
      <c r="AL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</row>
    <row r="1023" spans="1:53" ht="13.2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J1023" s="3"/>
      <c r="AK1023" s="3"/>
      <c r="AL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</row>
    <row r="1024" spans="1:53" ht="13.2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J1024" s="3"/>
      <c r="AK1024" s="3"/>
      <c r="AL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:53" ht="13.2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J1025" s="3"/>
      <c r="AK1025" s="3"/>
      <c r="AL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26" spans="1:53" ht="13.2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J1026" s="3"/>
      <c r="AK1026" s="3"/>
      <c r="AL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</row>
    <row r="1027" spans="1:53" ht="13.2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J1027" s="3"/>
      <c r="AK1027" s="3"/>
      <c r="AL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</row>
    <row r="1028" spans="1:53" ht="13.2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J1028" s="3"/>
      <c r="AK1028" s="3"/>
      <c r="AL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</row>
    <row r="1029" spans="1:53" ht="13.2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J1029" s="3"/>
      <c r="AK1029" s="3"/>
      <c r="AL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</row>
    <row r="1030" spans="1:53" ht="13.2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J1030" s="3"/>
      <c r="AK1030" s="3"/>
      <c r="AL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</row>
    <row r="1031" spans="1:53" ht="13.2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J1031" s="3"/>
      <c r="AK1031" s="3"/>
      <c r="AL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</row>
    <row r="1032" spans="1:53" ht="13.2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J1032" s="3"/>
      <c r="AK1032" s="3"/>
      <c r="AL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</row>
    <row r="1033" spans="1:53" ht="13.2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J1033" s="3"/>
      <c r="AK1033" s="3"/>
      <c r="AL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</row>
    <row r="1034" spans="1:53" ht="13.2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J1034" s="3"/>
      <c r="AK1034" s="3"/>
      <c r="AL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</row>
    <row r="1035" spans="1:53" ht="13.2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J1035" s="3"/>
      <c r="AK1035" s="3"/>
      <c r="AL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</row>
    <row r="1036" spans="1:53" ht="13.2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J1036" s="3"/>
      <c r="AK1036" s="3"/>
      <c r="AL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</row>
    <row r="1037" spans="1:53" ht="13.2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J1037" s="3"/>
      <c r="AK1037" s="3"/>
      <c r="AL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</row>
    <row r="1038" spans="1:53" ht="13.2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J1038" s="3"/>
      <c r="AK1038" s="3"/>
      <c r="AL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039" spans="1:53" ht="13.2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J1039" s="3"/>
      <c r="AK1039" s="3"/>
      <c r="AL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</row>
    <row r="1040" spans="1:53" ht="13.2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J1040" s="3"/>
      <c r="AK1040" s="3"/>
      <c r="AL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</row>
    <row r="1041" spans="1:53" ht="13.2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J1041" s="3"/>
      <c r="AK1041" s="3"/>
      <c r="AL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</row>
    <row r="1042" spans="1:53" ht="13.2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J1042" s="3"/>
      <c r="AK1042" s="3"/>
      <c r="AL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</row>
    <row r="1043" spans="1:53" ht="13.2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J1043" s="3"/>
      <c r="AK1043" s="3"/>
      <c r="AL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</row>
    <row r="1044" spans="1:53" ht="13.2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J1044" s="3"/>
      <c r="AK1044" s="3"/>
      <c r="AL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</row>
    <row r="1045" spans="1:53" ht="13.2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J1045" s="3"/>
      <c r="AK1045" s="3"/>
      <c r="AL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</row>
    <row r="1046" spans="1:53" ht="13.2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J1046" s="3"/>
      <c r="AK1046" s="3"/>
      <c r="AL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</row>
    <row r="1047" spans="1:53" ht="13.2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J1047" s="3"/>
      <c r="AK1047" s="3"/>
      <c r="AL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</row>
    <row r="1048" spans="1:53" ht="13.2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J1048" s="3"/>
      <c r="AK1048" s="3"/>
      <c r="AL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</row>
    <row r="1049" spans="1:53" ht="13.2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J1049" s="3"/>
      <c r="AK1049" s="3"/>
      <c r="AL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</row>
    <row r="1050" spans="1:53" ht="13.2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 t="s">
        <v>83</v>
      </c>
      <c r="AF1050" s="3"/>
      <c r="AG1050" s="3"/>
      <c r="AH1050" s="3"/>
      <c r="AJ1050" s="3"/>
      <c r="AK1050" s="3"/>
      <c r="AL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</row>
  </sheetData>
  <mergeCells count="95">
    <mergeCell ref="A36:C36"/>
    <mergeCell ref="D36:G36"/>
    <mergeCell ref="B37:C37"/>
    <mergeCell ref="K32:K33"/>
    <mergeCell ref="L32:N32"/>
    <mergeCell ref="D37:E37"/>
    <mergeCell ref="F37:G37"/>
    <mergeCell ref="L37:N37"/>
    <mergeCell ref="D33:E33"/>
    <mergeCell ref="D34:E34"/>
    <mergeCell ref="F33:G33"/>
    <mergeCell ref="H33:I33"/>
    <mergeCell ref="F34:G34"/>
    <mergeCell ref="H34:I34"/>
    <mergeCell ref="B31:C31"/>
    <mergeCell ref="B32:C32"/>
    <mergeCell ref="D32:E32"/>
    <mergeCell ref="F32:G32"/>
    <mergeCell ref="H32:I32"/>
    <mergeCell ref="B33:C33"/>
    <mergeCell ref="B34:C34"/>
    <mergeCell ref="D31:E31"/>
    <mergeCell ref="F31:G31"/>
    <mergeCell ref="H28:I28"/>
    <mergeCell ref="B29:I29"/>
    <mergeCell ref="B30:C30"/>
    <mergeCell ref="D30:E30"/>
    <mergeCell ref="F30:G30"/>
    <mergeCell ref="H30:I30"/>
    <mergeCell ref="H31:I31"/>
    <mergeCell ref="B27:C27"/>
    <mergeCell ref="D27:E27"/>
    <mergeCell ref="F27:G27"/>
    <mergeCell ref="H27:I27"/>
    <mergeCell ref="B28:C28"/>
    <mergeCell ref="D28:E28"/>
    <mergeCell ref="F28:G28"/>
    <mergeCell ref="A46:C46"/>
    <mergeCell ref="A47:C47"/>
    <mergeCell ref="K49:W49"/>
    <mergeCell ref="K53:W53"/>
    <mergeCell ref="B38:C38"/>
    <mergeCell ref="D38:E38"/>
    <mergeCell ref="F38:G38"/>
    <mergeCell ref="A39:A40"/>
    <mergeCell ref="B39:C40"/>
    <mergeCell ref="D39:E39"/>
    <mergeCell ref="F39:G39"/>
    <mergeCell ref="D40:E40"/>
    <mergeCell ref="F40:G40"/>
    <mergeCell ref="K41:W41"/>
    <mergeCell ref="A44:C44"/>
    <mergeCell ref="A45:C45"/>
    <mergeCell ref="K45:W45"/>
    <mergeCell ref="F26:G26"/>
    <mergeCell ref="H26:I26"/>
    <mergeCell ref="B24:C24"/>
    <mergeCell ref="B25:C25"/>
    <mergeCell ref="D25:E25"/>
    <mergeCell ref="F25:G25"/>
    <mergeCell ref="H25:I25"/>
    <mergeCell ref="B26:C26"/>
    <mergeCell ref="D26:E26"/>
    <mergeCell ref="B23:C23"/>
    <mergeCell ref="D23:E23"/>
    <mergeCell ref="F23:G23"/>
    <mergeCell ref="H23:I23"/>
    <mergeCell ref="D24:E24"/>
    <mergeCell ref="F24:G24"/>
    <mergeCell ref="H24:I24"/>
    <mergeCell ref="L22:N22"/>
    <mergeCell ref="Q22:T22"/>
    <mergeCell ref="B20:C20"/>
    <mergeCell ref="B21:C21"/>
    <mergeCell ref="D21:E21"/>
    <mergeCell ref="F21:G21"/>
    <mergeCell ref="H21:I21"/>
    <mergeCell ref="B22:C22"/>
    <mergeCell ref="D22:E22"/>
    <mergeCell ref="D20:E20"/>
    <mergeCell ref="F20:G20"/>
    <mergeCell ref="H20:I20"/>
    <mergeCell ref="F22:G22"/>
    <mergeCell ref="H22:I22"/>
    <mergeCell ref="AO15:AQ15"/>
    <mergeCell ref="B19:C19"/>
    <mergeCell ref="D19:E19"/>
    <mergeCell ref="F19:G19"/>
    <mergeCell ref="H19:I19"/>
    <mergeCell ref="B2:G2"/>
    <mergeCell ref="L2:N2"/>
    <mergeCell ref="O2:Q2"/>
    <mergeCell ref="R2:T2"/>
    <mergeCell ref="L12:N12"/>
    <mergeCell ref="O12:Q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Q1003"/>
  <sheetViews>
    <sheetView topLeftCell="A8" workbookViewId="0">
      <selection activeCell="D11" sqref="D11"/>
    </sheetView>
  </sheetViews>
  <sheetFormatPr baseColWidth="10" defaultColWidth="14.44140625" defaultRowHeight="15.75" customHeight="1" x14ac:dyDescent="0.25"/>
  <cols>
    <col min="2" max="2" width="32.33203125" customWidth="1"/>
  </cols>
  <sheetData>
    <row r="1" spans="2:17" x14ac:dyDescent="0.25">
      <c r="B1" s="1"/>
    </row>
    <row r="2" spans="2:17" x14ac:dyDescent="0.25">
      <c r="D2" s="309" t="s">
        <v>84</v>
      </c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8"/>
      <c r="P2" s="261"/>
      <c r="Q2" s="261"/>
    </row>
    <row r="3" spans="2:17" x14ac:dyDescent="0.25">
      <c r="B3" s="110" t="s">
        <v>85</v>
      </c>
      <c r="C3" s="111" t="s">
        <v>86</v>
      </c>
      <c r="D3" s="112">
        <v>1</v>
      </c>
      <c r="E3" s="112">
        <v>2</v>
      </c>
      <c r="F3" s="112">
        <v>3</v>
      </c>
      <c r="G3" s="112">
        <v>4</v>
      </c>
      <c r="H3" s="112">
        <v>5</v>
      </c>
      <c r="I3" s="112">
        <v>6</v>
      </c>
      <c r="J3" s="112">
        <v>7</v>
      </c>
      <c r="K3" s="112">
        <v>8</v>
      </c>
      <c r="L3" s="112">
        <v>9</v>
      </c>
      <c r="M3" s="112">
        <v>10</v>
      </c>
      <c r="N3" s="112">
        <v>11</v>
      </c>
      <c r="O3" s="112">
        <v>12</v>
      </c>
      <c r="P3" s="111" t="s">
        <v>14</v>
      </c>
      <c r="Q3" s="111" t="s">
        <v>15</v>
      </c>
    </row>
    <row r="4" spans="2:17" x14ac:dyDescent="0.25">
      <c r="B4" s="113" t="s">
        <v>87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  <c r="Q4" s="115"/>
    </row>
    <row r="5" spans="2:17" x14ac:dyDescent="0.25">
      <c r="B5" s="116" t="s">
        <v>88</v>
      </c>
      <c r="C5" s="68">
        <v>0</v>
      </c>
      <c r="D5" s="68">
        <f>'VENTA Y GASTO'!K43</f>
        <v>144465</v>
      </c>
      <c r="E5" s="68">
        <f>'VENTA Y GASTO'!L43</f>
        <v>151630</v>
      </c>
      <c r="F5" s="68">
        <f>'VENTA Y GASTO'!M43</f>
        <v>158675</v>
      </c>
      <c r="G5" s="68">
        <f>'VENTA Y GASTO'!N43</f>
        <v>164945</v>
      </c>
      <c r="H5" s="68">
        <f>'VENTA Y GASTO'!O43</f>
        <v>169405</v>
      </c>
      <c r="I5" s="68">
        <f>'VENTA Y GASTO'!P43</f>
        <v>204785</v>
      </c>
      <c r="J5" s="68">
        <f>'VENTA Y GASTO'!Q43</f>
        <v>195110</v>
      </c>
      <c r="K5" s="68">
        <f>'VENTA Y GASTO'!R43</f>
        <v>171805</v>
      </c>
      <c r="L5" s="68">
        <f>'VENTA Y GASTO'!S43</f>
        <v>168825</v>
      </c>
      <c r="M5" s="68">
        <f>'VENTA Y GASTO'!T43</f>
        <v>185955</v>
      </c>
      <c r="N5" s="68">
        <f>'VENTA Y GASTO'!U43</f>
        <v>213960</v>
      </c>
      <c r="O5" s="68">
        <f>'VENTA Y GASTO'!V43</f>
        <v>223240</v>
      </c>
      <c r="P5" s="68">
        <f>'VENTA Y GASTO'!M10</f>
        <v>3028800</v>
      </c>
      <c r="Q5" s="68">
        <f>'VENTA Y GASTO'!N10</f>
        <v>4521600</v>
      </c>
    </row>
    <row r="6" spans="2:17" x14ac:dyDescent="0.25">
      <c r="B6" s="116" t="s">
        <v>89</v>
      </c>
      <c r="C6" s="117">
        <f>500000</f>
        <v>500000</v>
      </c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2:17" x14ac:dyDescent="0.25">
      <c r="B7" s="118" t="s">
        <v>90</v>
      </c>
      <c r="C7" s="117">
        <v>300000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9"/>
      <c r="Q7" s="119"/>
    </row>
    <row r="8" spans="2:17" x14ac:dyDescent="0.25">
      <c r="B8" s="120" t="s">
        <v>91</v>
      </c>
      <c r="C8" s="121">
        <f>SUM(C5:C7)</f>
        <v>800000</v>
      </c>
      <c r="D8" s="121">
        <f t="shared" ref="D8:O8" si="0">D5+D6+D7</f>
        <v>144465</v>
      </c>
      <c r="E8" s="121">
        <f t="shared" si="0"/>
        <v>151630</v>
      </c>
      <c r="F8" s="121">
        <f t="shared" si="0"/>
        <v>158675</v>
      </c>
      <c r="G8" s="121">
        <f t="shared" si="0"/>
        <v>164945</v>
      </c>
      <c r="H8" s="121">
        <f t="shared" si="0"/>
        <v>169405</v>
      </c>
      <c r="I8" s="121">
        <f t="shared" si="0"/>
        <v>204785</v>
      </c>
      <c r="J8" s="121">
        <f t="shared" si="0"/>
        <v>195110</v>
      </c>
      <c r="K8" s="121">
        <f t="shared" si="0"/>
        <v>171805</v>
      </c>
      <c r="L8" s="121">
        <f t="shared" si="0"/>
        <v>168825</v>
      </c>
      <c r="M8" s="121">
        <f t="shared" si="0"/>
        <v>185955</v>
      </c>
      <c r="N8" s="121">
        <f t="shared" si="0"/>
        <v>213960</v>
      </c>
      <c r="O8" s="121">
        <f t="shared" si="0"/>
        <v>223240</v>
      </c>
      <c r="P8" s="122">
        <f t="shared" ref="P8:Q8" si="1">P5+P7</f>
        <v>3028800</v>
      </c>
      <c r="Q8" s="122">
        <f t="shared" si="1"/>
        <v>4521600</v>
      </c>
    </row>
    <row r="9" spans="2:17" x14ac:dyDescent="0.25">
      <c r="B9" s="123" t="s">
        <v>92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5"/>
      <c r="Q9" s="124"/>
    </row>
    <row r="10" spans="2:17" x14ac:dyDescent="0.25">
      <c r="B10" s="64" t="s">
        <v>93</v>
      </c>
      <c r="C10" s="125">
        <f>'VENTA Y GASTO'!B39</f>
        <v>561000</v>
      </c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Q10" s="127"/>
    </row>
    <row r="11" spans="2:17" x14ac:dyDescent="0.25">
      <c r="B11" s="64" t="s">
        <v>94</v>
      </c>
      <c r="C11" s="125">
        <v>0</v>
      </c>
      <c r="D11" s="125">
        <f>'VENTA Y GASTO'!F39</f>
        <v>4225</v>
      </c>
      <c r="E11" s="128">
        <f>'VENTA Y GASTO'!F39</f>
        <v>4225</v>
      </c>
      <c r="F11" s="128">
        <f>'VENTA Y GASTO'!F39</f>
        <v>4225</v>
      </c>
      <c r="G11" s="128">
        <f>'VENTA Y GASTO'!F39</f>
        <v>4225</v>
      </c>
      <c r="H11" s="128">
        <f>'VENTA Y GASTO'!F39</f>
        <v>4225</v>
      </c>
      <c r="I11" s="128">
        <f>'VENTA Y GASTO'!F39</f>
        <v>4225</v>
      </c>
      <c r="J11" s="128">
        <f>'VENTA Y GASTO'!F39</f>
        <v>4225</v>
      </c>
      <c r="K11" s="128">
        <f>'VENTA Y GASTO'!F39</f>
        <v>4225</v>
      </c>
      <c r="L11" s="128">
        <f>'VENTA Y GASTO'!F39</f>
        <v>4225</v>
      </c>
      <c r="M11" s="128">
        <f>'VENTA Y GASTO'!F39</f>
        <v>4225</v>
      </c>
      <c r="N11" s="128">
        <f>'VENTA Y GASTO'!F39</f>
        <v>4225</v>
      </c>
      <c r="O11" s="128">
        <f>'VENTA Y GASTO'!F39</f>
        <v>4225</v>
      </c>
      <c r="P11" s="128">
        <f>'VENTA Y GASTO'!F40</f>
        <v>50700</v>
      </c>
      <c r="Q11" s="128">
        <f>'VENTA Y GASTO'!F40</f>
        <v>50700</v>
      </c>
    </row>
    <row r="12" spans="2:17" x14ac:dyDescent="0.25">
      <c r="B12" s="64" t="s">
        <v>95</v>
      </c>
      <c r="C12" s="125">
        <v>0</v>
      </c>
      <c r="D12" s="125">
        <f>'VENTA Y GASTO'!D58</f>
        <v>56000</v>
      </c>
      <c r="E12" s="128">
        <f>'VENTA Y GASTO'!D58</f>
        <v>56000</v>
      </c>
      <c r="F12" s="128">
        <f>'VENTA Y GASTO'!D58</f>
        <v>56000</v>
      </c>
      <c r="G12" s="128">
        <f>'VENTA Y GASTO'!D58</f>
        <v>56000</v>
      </c>
      <c r="H12" s="128">
        <f>'VENTA Y GASTO'!D58</f>
        <v>56000</v>
      </c>
      <c r="I12" s="128">
        <f>'VENTA Y GASTO'!D58</f>
        <v>56000</v>
      </c>
      <c r="J12" s="128">
        <f>'VENTA Y GASTO'!D58</f>
        <v>56000</v>
      </c>
      <c r="K12" s="128">
        <f>'VENTA Y GASTO'!D58</f>
        <v>56000</v>
      </c>
      <c r="L12" s="128">
        <f>'VENTA Y GASTO'!D58</f>
        <v>56000</v>
      </c>
      <c r="M12" s="128">
        <f>'VENTA Y GASTO'!D58</f>
        <v>56000</v>
      </c>
      <c r="N12" s="128">
        <f>'VENTA Y GASTO'!D58</f>
        <v>56000</v>
      </c>
      <c r="O12" s="128">
        <f>'VENTA Y GASTO'!D58</f>
        <v>56000</v>
      </c>
      <c r="P12" s="128">
        <f>'VENTA Y GASTO'!E58</f>
        <v>672000</v>
      </c>
      <c r="Q12" s="128">
        <f>'VENTA Y GASTO'!E58</f>
        <v>672000</v>
      </c>
    </row>
    <row r="13" spans="2:17" x14ac:dyDescent="0.25">
      <c r="B13" s="64" t="s">
        <v>96</v>
      </c>
      <c r="C13" s="125">
        <f>'VENTA Y GASTO'!B24</f>
        <v>18000</v>
      </c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7"/>
      <c r="Q13" s="127"/>
    </row>
    <row r="14" spans="2:17" x14ac:dyDescent="0.25">
      <c r="B14" s="64" t="s">
        <v>97</v>
      </c>
      <c r="C14" s="125">
        <f>'VENTA Y GASTO'!B25</f>
        <v>32000</v>
      </c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7"/>
      <c r="Q14" s="127"/>
    </row>
    <row r="15" spans="2:17" x14ac:dyDescent="0.25">
      <c r="B15" s="64" t="s">
        <v>98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30"/>
      <c r="Q15" s="130"/>
    </row>
    <row r="16" spans="2:17" x14ac:dyDescent="0.25">
      <c r="B16" s="64" t="s">
        <v>40</v>
      </c>
      <c r="C16" s="125">
        <v>0</v>
      </c>
      <c r="D16" s="125">
        <f>'VENTA Y GASTO'!D46*8</f>
        <v>3600</v>
      </c>
      <c r="E16" s="128">
        <f>'VENTA Y GASTO'!D46*8</f>
        <v>3600</v>
      </c>
      <c r="F16" s="128">
        <f>'VENTA Y GASTO'!D46*8</f>
        <v>3600</v>
      </c>
      <c r="G16" s="128">
        <f>'VENTA Y GASTO'!D46*8</f>
        <v>3600</v>
      </c>
      <c r="H16" s="128">
        <f>'VENTA Y GASTO'!D46*8</f>
        <v>3600</v>
      </c>
      <c r="I16" s="128">
        <f>'VENTA Y GASTO'!D46*8</f>
        <v>3600</v>
      </c>
      <c r="J16" s="128">
        <f>'VENTA Y GASTO'!D46*8</f>
        <v>3600</v>
      </c>
      <c r="K16" s="128">
        <f>'VENTA Y GASTO'!D46*8</f>
        <v>3600</v>
      </c>
      <c r="L16" s="128">
        <f>'VENTA Y GASTO'!D46*8</f>
        <v>3600</v>
      </c>
      <c r="M16" s="128">
        <f>'VENTA Y GASTO'!D46*8</f>
        <v>3600</v>
      </c>
      <c r="N16" s="128">
        <f>'VENTA Y GASTO'!D46*8</f>
        <v>3600</v>
      </c>
      <c r="O16" s="128">
        <f>'VENTA Y GASTO'!D46*8</f>
        <v>3600</v>
      </c>
      <c r="P16" s="125">
        <f>'VENTA Y GASTO'!D46*8*12</f>
        <v>43200</v>
      </c>
      <c r="Q16" s="125">
        <f>'VENTA Y GASTO'!D46*8*12</f>
        <v>43200</v>
      </c>
    </row>
    <row r="17" spans="2:17" x14ac:dyDescent="0.25">
      <c r="B17" s="64" t="s">
        <v>99</v>
      </c>
      <c r="C17" s="131">
        <v>0</v>
      </c>
      <c r="D17" s="131">
        <f>'VENTA Y GASTO'!K47</f>
        <v>27480</v>
      </c>
      <c r="E17" s="131">
        <f>'VENTA Y GASTO'!L47</f>
        <v>28970</v>
      </c>
      <c r="F17" s="131">
        <f>'VENTA Y GASTO'!M47</f>
        <v>30590</v>
      </c>
      <c r="G17" s="131">
        <f>'VENTA Y GASTO'!N47</f>
        <v>31795</v>
      </c>
      <c r="H17" s="131">
        <f>'VENTA Y GASTO'!O47</f>
        <v>32890</v>
      </c>
      <c r="I17" s="131">
        <f>'VENTA Y GASTO'!P47</f>
        <v>39185</v>
      </c>
      <c r="J17" s="131">
        <f>'VENTA Y GASTO'!Q47</f>
        <v>37105</v>
      </c>
      <c r="K17" s="131">
        <f>'VENTA Y GASTO'!R47</f>
        <v>32905</v>
      </c>
      <c r="L17" s="131">
        <f>'VENTA Y GASTO'!S47</f>
        <v>32230</v>
      </c>
      <c r="M17" s="131">
        <f>'VENTA Y GASTO'!T47</f>
        <v>35545</v>
      </c>
      <c r="N17" s="131">
        <f>'VENTA Y GASTO'!U47</f>
        <v>41020</v>
      </c>
      <c r="O17" s="131">
        <f>'VENTA Y GASTO'!V47</f>
        <v>42785</v>
      </c>
      <c r="P17" s="131">
        <f>'VENTA Y GASTO'!P20</f>
        <v>576600</v>
      </c>
      <c r="Q17" s="131">
        <f>'VENTA Y GASTO'!Q20</f>
        <v>849900</v>
      </c>
    </row>
    <row r="18" spans="2:17" x14ac:dyDescent="0.25">
      <c r="B18" s="64" t="s">
        <v>100</v>
      </c>
      <c r="C18" s="131">
        <v>0</v>
      </c>
      <c r="D18" s="131">
        <f>PRESTAMO!C9</f>
        <v>1222.25</v>
      </c>
      <c r="E18" s="131">
        <f>PRESTAMO!C10</f>
        <v>1190.6586028263728</v>
      </c>
      <c r="F18" s="131">
        <f>PRESTAMO!C11</f>
        <v>1158.938497035427</v>
      </c>
      <c r="G18" s="131">
        <f>PRESTAMO!C12</f>
        <v>1127.0891582468048</v>
      </c>
      <c r="H18" s="131">
        <f>PRESTAMO!C13</f>
        <v>1095.1100599437343</v>
      </c>
      <c r="I18" s="131">
        <f>PRESTAMO!C14</f>
        <v>1063.0006734643275</v>
      </c>
      <c r="J18" s="131">
        <f>PRESTAMO!C15</f>
        <v>1030.7604679928393</v>
      </c>
      <c r="K18" s="131">
        <f>PRESTAMO!C16</f>
        <v>998.38891055089277</v>
      </c>
      <c r="L18" s="131">
        <f>PRESTAMO!C17</f>
        <v>965.8854659886681</v>
      </c>
      <c r="M18" s="131">
        <f>PRESTAMO!C18</f>
        <v>933.24959697605618</v>
      </c>
      <c r="N18" s="131">
        <f>PRESTAMO!C19</f>
        <v>900.48076399377533</v>
      </c>
      <c r="O18" s="131">
        <f>PRESTAMO!C20</f>
        <v>867.57842532445238</v>
      </c>
      <c r="P18" s="131">
        <f>SUM(PRESTAMO!C21:C32)</f>
        <v>7795.2134605800211</v>
      </c>
      <c r="Q18" s="131">
        <f>SUM(PRESTAMO!C33:C44)</f>
        <v>2799.1248801928759</v>
      </c>
    </row>
    <row r="19" spans="2:17" x14ac:dyDescent="0.25">
      <c r="B19" s="64" t="s">
        <v>101</v>
      </c>
      <c r="C19" s="125">
        <v>0</v>
      </c>
      <c r="D19" s="128">
        <f>PRESTAMO!D9</f>
        <v>7754.075804531185</v>
      </c>
      <c r="E19" s="128">
        <f>PRESTAMO!D10</f>
        <v>7785.6672017048122</v>
      </c>
      <c r="F19" s="128">
        <f>PRESTAMO!D11</f>
        <v>7817.3873074957583</v>
      </c>
      <c r="G19" s="128">
        <f>PRESTAMO!D12</f>
        <v>7849.2366462843802</v>
      </c>
      <c r="H19" s="128">
        <f>PRESTAMO!D13</f>
        <v>7881.2157445874509</v>
      </c>
      <c r="I19" s="128">
        <f>PRESTAMO!D14</f>
        <v>7913.3251310668575</v>
      </c>
      <c r="J19" s="128">
        <f>PRESTAMO!D15</f>
        <v>7945.5653365383459</v>
      </c>
      <c r="K19" s="128">
        <f>PRESTAMO!D16</f>
        <v>7977.9368939802926</v>
      </c>
      <c r="L19" s="128">
        <f>PRESTAMO!D17</f>
        <v>8010.4403385425167</v>
      </c>
      <c r="M19" s="128">
        <f>PRESTAMO!D18</f>
        <v>8043.0762075551283</v>
      </c>
      <c r="N19" s="128">
        <f>PRESTAMO!D19</f>
        <v>8075.8450405374097</v>
      </c>
      <c r="O19" s="128">
        <f>PRESTAMO!D20</f>
        <v>8108.7473792067321</v>
      </c>
      <c r="P19" s="128">
        <f>PRESTAMO!I27</f>
        <v>99920.696193794196</v>
      </c>
      <c r="Q19" s="125">
        <f>PRESTAMO!I39</f>
        <v>104916.78477418133</v>
      </c>
    </row>
    <row r="20" spans="2:17" x14ac:dyDescent="0.25">
      <c r="B20" s="132" t="s">
        <v>102</v>
      </c>
      <c r="C20" s="133">
        <v>0</v>
      </c>
      <c r="D20" s="133">
        <f>'VENTA Y GASTO'!K51</f>
        <v>64025</v>
      </c>
      <c r="E20" s="133">
        <f>'VENTA Y GASTO'!L51</f>
        <v>67175</v>
      </c>
      <c r="F20" s="133">
        <f>'VENTA Y GASTO'!M51</f>
        <v>70205</v>
      </c>
      <c r="G20" s="133">
        <f>'VENTA Y GASTO'!N51</f>
        <v>73000</v>
      </c>
      <c r="H20" s="133">
        <f>'VENTA Y GASTO'!O51</f>
        <v>74825</v>
      </c>
      <c r="I20" s="133">
        <f>'VENTA Y GASTO'!P51</f>
        <v>90735</v>
      </c>
      <c r="J20" s="133">
        <f>'VENTA Y GASTO'!Q51</f>
        <v>86465</v>
      </c>
      <c r="K20" s="133">
        <f>'VENTA Y GASTO'!R51</f>
        <v>76255</v>
      </c>
      <c r="L20" s="133">
        <f>'VENTA Y GASTO'!S51</f>
        <v>74630</v>
      </c>
      <c r="M20" s="133">
        <f>'VENTA Y GASTO'!T51</f>
        <v>82550</v>
      </c>
      <c r="N20" s="133">
        <f>'VENTA Y GASTO'!U51</f>
        <v>95040</v>
      </c>
      <c r="O20" s="133">
        <f>'VENTA Y GASTO'!V51</f>
        <v>99095</v>
      </c>
      <c r="P20" s="117">
        <f>'VENTA Y GASTO'!M20</f>
        <v>1346100</v>
      </c>
      <c r="Q20" s="117">
        <f>'VENTA Y GASTO'!N20</f>
        <v>2012100</v>
      </c>
    </row>
    <row r="21" spans="2:17" x14ac:dyDescent="0.25">
      <c r="B21" s="132" t="s">
        <v>103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17">
        <f>'CUENTA DE PYG'!L20</f>
        <v>72134.57163485499</v>
      </c>
      <c r="Q21" s="117">
        <f>'CUENTA DE PYG'!D44</f>
        <v>211758.59377995177</v>
      </c>
    </row>
    <row r="22" spans="2:17" x14ac:dyDescent="0.25">
      <c r="B22" s="132" t="s">
        <v>44</v>
      </c>
      <c r="C22" s="133">
        <v>4.45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17">
        <v>0</v>
      </c>
      <c r="Q22" s="117">
        <v>0</v>
      </c>
    </row>
    <row r="23" spans="2:17" x14ac:dyDescent="0.25">
      <c r="B23" s="132" t="s">
        <v>104</v>
      </c>
      <c r="C23" s="133">
        <v>0</v>
      </c>
      <c r="D23" s="133">
        <v>4.45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17">
        <f>'VENTA Y GASTO'!F32</f>
        <v>6.5</v>
      </c>
      <c r="Q23" s="117">
        <f>'VENTA Y GASTO'!H32</f>
        <v>6.5</v>
      </c>
    </row>
    <row r="24" spans="2:17" x14ac:dyDescent="0.25">
      <c r="B24" s="120" t="s">
        <v>105</v>
      </c>
      <c r="C24" s="122">
        <f t="shared" ref="C24:Q24" si="2">SUM(C10:C23)</f>
        <v>611004.44999999995</v>
      </c>
      <c r="D24" s="122">
        <f>SUM(D10:D23)</f>
        <v>164310.77580453118</v>
      </c>
      <c r="E24" s="122">
        <f t="shared" si="2"/>
        <v>168946.32580453117</v>
      </c>
      <c r="F24" s="122">
        <f t="shared" si="2"/>
        <v>173596.32580453117</v>
      </c>
      <c r="G24" s="122">
        <f t="shared" si="2"/>
        <v>177596.32580453117</v>
      </c>
      <c r="H24" s="122">
        <f t="shared" si="2"/>
        <v>180516.32580453117</v>
      </c>
      <c r="I24" s="122">
        <f t="shared" si="2"/>
        <v>202721.32580453117</v>
      </c>
      <c r="J24" s="122">
        <f t="shared" si="2"/>
        <v>196371.32580453117</v>
      </c>
      <c r="K24" s="122">
        <f t="shared" si="2"/>
        <v>181961.32580453117</v>
      </c>
      <c r="L24" s="122">
        <f t="shared" si="2"/>
        <v>179661.32580453117</v>
      </c>
      <c r="M24" s="122">
        <f t="shared" si="2"/>
        <v>190896.32580453117</v>
      </c>
      <c r="N24" s="122">
        <f t="shared" si="2"/>
        <v>208861.3258045312</v>
      </c>
      <c r="O24" s="122">
        <f t="shared" si="2"/>
        <v>214681.32580453117</v>
      </c>
      <c r="P24" s="122">
        <f t="shared" si="2"/>
        <v>2868456.9812892294</v>
      </c>
      <c r="Q24" s="122">
        <f t="shared" si="2"/>
        <v>3947381.003434326</v>
      </c>
    </row>
    <row r="25" spans="2:17" x14ac:dyDescent="0.25">
      <c r="B25" s="134" t="s">
        <v>106</v>
      </c>
      <c r="C25" s="135">
        <f t="shared" ref="C25:O25" si="3">C8-C24</f>
        <v>188995.55000000005</v>
      </c>
      <c r="D25" s="135">
        <f t="shared" si="3"/>
        <v>-19845.775804531178</v>
      </c>
      <c r="E25" s="135">
        <f t="shared" si="3"/>
        <v>-17316.325804531167</v>
      </c>
      <c r="F25" s="135">
        <f t="shared" si="3"/>
        <v>-14921.325804531167</v>
      </c>
      <c r="G25" s="135">
        <f t="shared" si="3"/>
        <v>-12651.325804531167</v>
      </c>
      <c r="H25" s="135">
        <f t="shared" si="3"/>
        <v>-11111.325804531167</v>
      </c>
      <c r="I25" s="135">
        <f t="shared" si="3"/>
        <v>2063.6741954688332</v>
      </c>
      <c r="J25" s="135">
        <f t="shared" si="3"/>
        <v>-1261.3258045311668</v>
      </c>
      <c r="K25" s="135">
        <f t="shared" si="3"/>
        <v>-10156.325804531167</v>
      </c>
      <c r="L25" s="135">
        <f t="shared" si="3"/>
        <v>-10836.325804531167</v>
      </c>
      <c r="M25" s="135">
        <f t="shared" si="3"/>
        <v>-4941.3258045311668</v>
      </c>
      <c r="N25" s="135">
        <f t="shared" si="3"/>
        <v>5098.6741954688041</v>
      </c>
      <c r="O25" s="135">
        <f t="shared" si="3"/>
        <v>8558.6741954688332</v>
      </c>
      <c r="P25" s="310"/>
      <c r="Q25" s="258"/>
    </row>
    <row r="26" spans="2:17" x14ac:dyDescent="0.25">
      <c r="B26" s="134" t="s">
        <v>107</v>
      </c>
      <c r="C26" s="311">
        <f>SUM(C25:O25)</f>
        <v>101675.190345626</v>
      </c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8"/>
      <c r="P26" s="136">
        <f t="shared" ref="P26:Q26" si="4">P8-P24</f>
        <v>160343.01871077064</v>
      </c>
      <c r="Q26" s="136">
        <f t="shared" si="4"/>
        <v>574218.99656567397</v>
      </c>
    </row>
    <row r="27" spans="2:17" x14ac:dyDescent="0.25">
      <c r="B27" s="134" t="s">
        <v>108</v>
      </c>
      <c r="C27" s="136">
        <f>C25</f>
        <v>188995.55000000005</v>
      </c>
      <c r="D27" s="136">
        <f t="shared" ref="D27:O27" si="5">C27+D25</f>
        <v>169149.77419546887</v>
      </c>
      <c r="E27" s="136">
        <f t="shared" si="5"/>
        <v>151833.4483909377</v>
      </c>
      <c r="F27" s="136">
        <f t="shared" si="5"/>
        <v>136912.12258640653</v>
      </c>
      <c r="G27" s="136">
        <f t="shared" si="5"/>
        <v>124260.79678187537</v>
      </c>
      <c r="H27" s="136">
        <f t="shared" si="5"/>
        <v>113149.4709773442</v>
      </c>
      <c r="I27" s="136">
        <f t="shared" si="5"/>
        <v>115213.14517281303</v>
      </c>
      <c r="J27" s="136">
        <f t="shared" si="5"/>
        <v>113951.81936828187</v>
      </c>
      <c r="K27" s="136">
        <f t="shared" si="5"/>
        <v>103795.4935637507</v>
      </c>
      <c r="L27" s="136">
        <f t="shared" si="5"/>
        <v>92959.167759219534</v>
      </c>
      <c r="M27" s="136">
        <f t="shared" si="5"/>
        <v>88017.841954688367</v>
      </c>
      <c r="N27" s="136">
        <f t="shared" si="5"/>
        <v>93116.516150157171</v>
      </c>
      <c r="O27" s="136">
        <f t="shared" si="5"/>
        <v>101675.190345626</v>
      </c>
      <c r="P27" s="136">
        <f t="shared" ref="P27:Q27" si="6">O27+P26</f>
        <v>262018.20905639665</v>
      </c>
      <c r="Q27" s="136">
        <f t="shared" si="6"/>
        <v>836237.20562207059</v>
      </c>
    </row>
    <row r="30" spans="2:17" x14ac:dyDescent="0.25">
      <c r="K30" s="137">
        <v>101675.19</v>
      </c>
    </row>
    <row r="31" spans="2:17" x14ac:dyDescent="0.25">
      <c r="C31" s="3" t="s">
        <v>109</v>
      </c>
      <c r="I31" s="138">
        <f>SUM(C24:O24)</f>
        <v>2851124.8096543737</v>
      </c>
      <c r="K31" s="137">
        <v>160343.01999999999</v>
      </c>
    </row>
    <row r="32" spans="2:17" x14ac:dyDescent="0.25">
      <c r="I32" s="138">
        <f>SUM(C8:O8)</f>
        <v>2952800</v>
      </c>
    </row>
    <row r="33" spans="2:15" x14ac:dyDescent="0.25">
      <c r="O33" s="137">
        <v>574219</v>
      </c>
    </row>
    <row r="35" spans="2:15" x14ac:dyDescent="0.25">
      <c r="B35" s="1"/>
    </row>
    <row r="36" spans="2:15" x14ac:dyDescent="0.25">
      <c r="B36" s="1"/>
    </row>
    <row r="38" spans="2:15" x14ac:dyDescent="0.25">
      <c r="B38" s="1"/>
    </row>
    <row r="39" spans="2:15" x14ac:dyDescent="0.25">
      <c r="B39" s="1"/>
    </row>
    <row r="40" spans="2:15" x14ac:dyDescent="0.25">
      <c r="B40" s="1"/>
    </row>
    <row r="41" spans="2:15" x14ac:dyDescent="0.25">
      <c r="B41" s="1"/>
    </row>
    <row r="42" spans="2:15" x14ac:dyDescent="0.25">
      <c r="B42" s="1"/>
    </row>
    <row r="43" spans="2:15" x14ac:dyDescent="0.25">
      <c r="B43" s="1"/>
    </row>
    <row r="44" spans="2:15" x14ac:dyDescent="0.25">
      <c r="B44" s="1"/>
    </row>
    <row r="45" spans="2:15" x14ac:dyDescent="0.25">
      <c r="B45" s="1"/>
    </row>
    <row r="46" spans="2:15" x14ac:dyDescent="0.25">
      <c r="B46" s="1"/>
    </row>
    <row r="47" spans="2:15" x14ac:dyDescent="0.25">
      <c r="B47" s="1"/>
    </row>
    <row r="48" spans="2:15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</sheetData>
  <mergeCells count="4">
    <mergeCell ref="D2:O2"/>
    <mergeCell ref="P2:Q2"/>
    <mergeCell ref="P25:Q25"/>
    <mergeCell ref="C26:O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.75" customHeight="1" x14ac:dyDescent="0.25"/>
  <cols>
    <col min="1" max="1" width="19" customWidth="1"/>
    <col min="2" max="2" width="13.88671875" customWidth="1"/>
    <col min="3" max="3" width="11.109375" customWidth="1"/>
    <col min="4" max="4" width="19.109375" customWidth="1"/>
    <col min="5" max="5" width="18.5546875" customWidth="1"/>
    <col min="6" max="6" width="18.88671875" customWidth="1"/>
    <col min="7" max="7" width="19.33203125" customWidth="1"/>
    <col min="8" max="8" width="17.5546875" customWidth="1"/>
    <col min="9" max="9" width="14.6640625" customWidth="1"/>
    <col min="10" max="26" width="10.88671875" customWidth="1"/>
  </cols>
  <sheetData>
    <row r="1" spans="1:26" ht="15.75" customHeight="1" x14ac:dyDescent="0.3">
      <c r="A1" s="139" t="s">
        <v>110</v>
      </c>
      <c r="B1" s="140">
        <v>300000</v>
      </c>
      <c r="C1" s="139"/>
      <c r="D1" s="141" t="s">
        <v>111</v>
      </c>
      <c r="E1" s="141"/>
      <c r="F1" s="142" t="s">
        <v>112</v>
      </c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spans="1:26" ht="15.75" customHeight="1" x14ac:dyDescent="0.3">
      <c r="A2" s="139" t="s">
        <v>113</v>
      </c>
      <c r="B2" s="144">
        <v>3</v>
      </c>
      <c r="C2" s="145"/>
      <c r="D2" s="141" t="s">
        <v>114</v>
      </c>
      <c r="E2" s="141"/>
      <c r="F2" s="146" t="s">
        <v>115</v>
      </c>
      <c r="G2" s="147">
        <v>0.05</v>
      </c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spans="1:26" ht="15.75" customHeight="1" x14ac:dyDescent="0.3">
      <c r="A3" s="139" t="s">
        <v>116</v>
      </c>
      <c r="B3" s="139">
        <v>12</v>
      </c>
      <c r="C3" s="139">
        <f>PRESTAMO!B3*PRESTAMO!B2</f>
        <v>36</v>
      </c>
      <c r="D3" s="148" t="s">
        <v>117</v>
      </c>
      <c r="E3" s="141"/>
      <c r="F3" s="146" t="s">
        <v>118</v>
      </c>
      <c r="G3" s="149">
        <v>12</v>
      </c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spans="1:26" ht="15.75" customHeight="1" x14ac:dyDescent="0.3">
      <c r="A4" s="150" t="s">
        <v>119</v>
      </c>
      <c r="B4" s="151">
        <v>4.8890000000000003E-2</v>
      </c>
      <c r="C4" s="152">
        <f>B4/B3</f>
        <v>4.0741666666666669E-3</v>
      </c>
      <c r="D4" s="153">
        <f>-(B1*-1)/((((1+C4)^C3)-1)/(((1+C4)^C3)*C4))</f>
        <v>8976.325804531185</v>
      </c>
      <c r="E4" s="141"/>
      <c r="F4" s="154" t="s">
        <v>120</v>
      </c>
      <c r="G4" s="155">
        <f>NOMINAL(G2,G3)</f>
        <v>4.8889485403780242E-2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spans="1:26" x14ac:dyDescent="0.25">
      <c r="A5" s="141"/>
      <c r="B5" s="141"/>
      <c r="C5" s="141"/>
      <c r="D5" s="141"/>
      <c r="E5" s="141"/>
      <c r="F5" s="156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spans="1:26" x14ac:dyDescent="0.25">
      <c r="A6" s="141"/>
      <c r="B6" s="141"/>
      <c r="C6" s="141"/>
      <c r="D6" s="141"/>
      <c r="E6" s="141"/>
      <c r="F6" s="156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spans="1:26" x14ac:dyDescent="0.25">
      <c r="A7" s="157" t="s">
        <v>121</v>
      </c>
      <c r="B7" s="158" t="s">
        <v>122</v>
      </c>
      <c r="C7" s="158" t="s">
        <v>123</v>
      </c>
      <c r="D7" s="158" t="s">
        <v>124</v>
      </c>
      <c r="E7" s="158" t="s">
        <v>125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 spans="1:26" x14ac:dyDescent="0.25">
      <c r="A8" s="159">
        <v>0</v>
      </c>
      <c r="B8" s="156"/>
      <c r="C8" s="156"/>
      <c r="D8" s="156"/>
      <c r="E8" s="160">
        <f>PRESTAMO!B1</f>
        <v>300000</v>
      </c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spans="1:26" x14ac:dyDescent="0.25">
      <c r="A9" s="161">
        <f t="shared" ref="A9:A128" si="0">A8+1</f>
        <v>1</v>
      </c>
      <c r="B9" s="162">
        <f>D4</f>
        <v>8976.325804531185</v>
      </c>
      <c r="C9" s="161">
        <f t="shared" ref="C9:C128" si="1">E8*$C$4</f>
        <v>1222.25</v>
      </c>
      <c r="D9" s="162">
        <f t="shared" ref="D9:D128" si="2">B9-C9</f>
        <v>7754.075804531185</v>
      </c>
      <c r="E9" s="162">
        <f t="shared" ref="E9:E128" si="3">E8-D9</f>
        <v>292245.92419546883</v>
      </c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spans="1:26" x14ac:dyDescent="0.25">
      <c r="A10" s="161">
        <f t="shared" si="0"/>
        <v>2</v>
      </c>
      <c r="B10" s="162">
        <f t="shared" ref="B10:B128" si="4">B9</f>
        <v>8976.325804531185</v>
      </c>
      <c r="C10" s="161">
        <f t="shared" si="1"/>
        <v>1190.6586028263728</v>
      </c>
      <c r="D10" s="162">
        <f t="shared" si="2"/>
        <v>7785.6672017048122</v>
      </c>
      <c r="E10" s="162">
        <f t="shared" si="3"/>
        <v>284460.25699376402</v>
      </c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spans="1:26" ht="15.75" customHeight="1" x14ac:dyDescent="0.3">
      <c r="A11" s="161">
        <f t="shared" si="0"/>
        <v>3</v>
      </c>
      <c r="B11" s="162">
        <f t="shared" si="4"/>
        <v>8976.325804531185</v>
      </c>
      <c r="C11" s="161">
        <f t="shared" si="1"/>
        <v>1158.938497035427</v>
      </c>
      <c r="D11" s="162">
        <f t="shared" si="2"/>
        <v>7817.3873074957583</v>
      </c>
      <c r="E11" s="162">
        <f t="shared" si="3"/>
        <v>276642.86968626827</v>
      </c>
      <c r="F11" s="143"/>
      <c r="G11" s="163" t="s">
        <v>126</v>
      </c>
      <c r="H11" s="164"/>
      <c r="I11" s="165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spans="1:26" x14ac:dyDescent="0.25">
      <c r="A12" s="161">
        <f t="shared" si="0"/>
        <v>4</v>
      </c>
      <c r="B12" s="162">
        <f t="shared" si="4"/>
        <v>8976.325804531185</v>
      </c>
      <c r="C12" s="161">
        <f t="shared" si="1"/>
        <v>1127.0891582468048</v>
      </c>
      <c r="D12" s="162">
        <f t="shared" si="2"/>
        <v>7849.2366462843802</v>
      </c>
      <c r="E12" s="162">
        <f t="shared" si="3"/>
        <v>268793.63303998386</v>
      </c>
      <c r="F12" s="143"/>
      <c r="G12" s="166" t="s">
        <v>127</v>
      </c>
      <c r="I12" s="167">
        <f>SUM(D9:D20)</f>
        <v>95162.519032030861</v>
      </c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spans="1:26" x14ac:dyDescent="0.25">
      <c r="A13" s="161">
        <f t="shared" si="0"/>
        <v>5</v>
      </c>
      <c r="B13" s="162">
        <f t="shared" si="4"/>
        <v>8976.325804531185</v>
      </c>
      <c r="C13" s="161">
        <f t="shared" si="1"/>
        <v>1095.1100599437343</v>
      </c>
      <c r="D13" s="162">
        <f t="shared" si="2"/>
        <v>7881.2157445874509</v>
      </c>
      <c r="E13" s="162">
        <f t="shared" si="3"/>
        <v>260912.41729539642</v>
      </c>
      <c r="F13" s="143"/>
      <c r="G13" s="166" t="s">
        <v>128</v>
      </c>
      <c r="I13" s="167">
        <f>E8-I12</f>
        <v>204837.48096796914</v>
      </c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spans="1:26" x14ac:dyDescent="0.25">
      <c r="A14" s="161">
        <f t="shared" si="0"/>
        <v>6</v>
      </c>
      <c r="B14" s="162">
        <f t="shared" si="4"/>
        <v>8976.325804531185</v>
      </c>
      <c r="C14" s="161">
        <f t="shared" si="1"/>
        <v>1063.0006734643275</v>
      </c>
      <c r="D14" s="162">
        <f t="shared" si="2"/>
        <v>7913.3251310668575</v>
      </c>
      <c r="E14" s="162">
        <f t="shared" si="3"/>
        <v>252999.09216432954</v>
      </c>
      <c r="F14" s="143"/>
      <c r="G14" s="166" t="s">
        <v>129</v>
      </c>
      <c r="H14" s="143"/>
      <c r="I14" s="168">
        <f>SUM(C9:C20)</f>
        <v>12553.39062234335</v>
      </c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spans="1:26" x14ac:dyDescent="0.25">
      <c r="A15" s="161">
        <f t="shared" si="0"/>
        <v>7</v>
      </c>
      <c r="B15" s="162">
        <f t="shared" si="4"/>
        <v>8976.325804531185</v>
      </c>
      <c r="C15" s="161">
        <f t="shared" si="1"/>
        <v>1030.7604679928393</v>
      </c>
      <c r="D15" s="162">
        <f t="shared" si="2"/>
        <v>7945.5653365383459</v>
      </c>
      <c r="E15" s="162">
        <f t="shared" si="3"/>
        <v>245053.52682779121</v>
      </c>
      <c r="F15" s="143"/>
      <c r="G15" s="166" t="s">
        <v>130</v>
      </c>
      <c r="H15" s="143"/>
      <c r="I15" s="169">
        <f>SUM(D9:D20)</f>
        <v>95162.519032030861</v>
      </c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spans="1:26" x14ac:dyDescent="0.25">
      <c r="A16" s="161">
        <f t="shared" si="0"/>
        <v>8</v>
      </c>
      <c r="B16" s="162">
        <f t="shared" si="4"/>
        <v>8976.325804531185</v>
      </c>
      <c r="C16" s="161">
        <f t="shared" si="1"/>
        <v>998.38891055089277</v>
      </c>
      <c r="D16" s="162">
        <f t="shared" si="2"/>
        <v>7977.9368939802926</v>
      </c>
      <c r="E16" s="162">
        <f t="shared" si="3"/>
        <v>237075.58993381093</v>
      </c>
      <c r="F16" s="143"/>
      <c r="G16" s="84"/>
      <c r="I16" s="27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spans="1:26" ht="15.75" customHeight="1" x14ac:dyDescent="0.3">
      <c r="A17" s="161">
        <f t="shared" si="0"/>
        <v>9</v>
      </c>
      <c r="B17" s="162">
        <f t="shared" si="4"/>
        <v>8976.325804531185</v>
      </c>
      <c r="C17" s="161">
        <f t="shared" si="1"/>
        <v>965.8854659886681</v>
      </c>
      <c r="D17" s="162">
        <f t="shared" si="2"/>
        <v>8010.4403385425167</v>
      </c>
      <c r="E17" s="162">
        <f t="shared" si="3"/>
        <v>229065.14959526842</v>
      </c>
      <c r="F17" s="143"/>
      <c r="G17" s="170" t="s">
        <v>131</v>
      </c>
      <c r="H17" s="143"/>
      <c r="I17" s="171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spans="1:26" x14ac:dyDescent="0.25">
      <c r="A18" s="161">
        <f t="shared" si="0"/>
        <v>10</v>
      </c>
      <c r="B18" s="162">
        <f t="shared" si="4"/>
        <v>8976.325804531185</v>
      </c>
      <c r="C18" s="161">
        <f t="shared" si="1"/>
        <v>933.24959697605618</v>
      </c>
      <c r="D18" s="162">
        <f t="shared" si="2"/>
        <v>8043.0762075551283</v>
      </c>
      <c r="E18" s="162">
        <f t="shared" si="3"/>
        <v>221022.07338771329</v>
      </c>
      <c r="F18" s="143"/>
      <c r="G18" s="172" t="s">
        <v>132</v>
      </c>
      <c r="H18" s="48"/>
      <c r="I18" s="173">
        <f>SUM(C9:C20)</f>
        <v>12553.39062234335</v>
      </c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spans="1:26" x14ac:dyDescent="0.25">
      <c r="A19" s="161">
        <f t="shared" si="0"/>
        <v>11</v>
      </c>
      <c r="B19" s="162">
        <f t="shared" si="4"/>
        <v>8976.325804531185</v>
      </c>
      <c r="C19" s="161">
        <f t="shared" si="1"/>
        <v>900.48076399377533</v>
      </c>
      <c r="D19" s="162">
        <f t="shared" si="2"/>
        <v>8075.8450405374097</v>
      </c>
      <c r="E19" s="162">
        <f t="shared" si="3"/>
        <v>212946.22834717587</v>
      </c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spans="1:26" x14ac:dyDescent="0.25">
      <c r="A20" s="161">
        <f t="shared" si="0"/>
        <v>12</v>
      </c>
      <c r="B20" s="162">
        <f t="shared" si="4"/>
        <v>8976.325804531185</v>
      </c>
      <c r="C20" s="161">
        <f t="shared" si="1"/>
        <v>867.57842532445238</v>
      </c>
      <c r="D20" s="162">
        <f t="shared" si="2"/>
        <v>8108.7473792067321</v>
      </c>
      <c r="E20" s="162">
        <f t="shared" si="3"/>
        <v>204837.48096796914</v>
      </c>
      <c r="F20" s="156">
        <f>E8-E20</f>
        <v>95162.519032030861</v>
      </c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spans="1:26" x14ac:dyDescent="0.25">
      <c r="A21" s="174">
        <f t="shared" si="0"/>
        <v>13</v>
      </c>
      <c r="B21" s="175">
        <f t="shared" si="4"/>
        <v>8976.325804531185</v>
      </c>
      <c r="C21" s="174">
        <f t="shared" si="1"/>
        <v>834.54203704366762</v>
      </c>
      <c r="D21" s="175">
        <f t="shared" si="2"/>
        <v>8141.7837674875173</v>
      </c>
      <c r="E21" s="175">
        <f t="shared" si="3"/>
        <v>196695.69720048163</v>
      </c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spans="1:26" x14ac:dyDescent="0.25">
      <c r="A22" s="174">
        <f t="shared" si="0"/>
        <v>14</v>
      </c>
      <c r="B22" s="175">
        <f t="shared" si="4"/>
        <v>8976.325804531185</v>
      </c>
      <c r="C22" s="174">
        <f t="shared" si="1"/>
        <v>801.37105301096233</v>
      </c>
      <c r="D22" s="175">
        <f t="shared" si="2"/>
        <v>8174.954751520223</v>
      </c>
      <c r="E22" s="175">
        <f t="shared" si="3"/>
        <v>188520.74244896142</v>
      </c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spans="1:26" ht="15.75" customHeight="1" x14ac:dyDescent="0.3">
      <c r="A23" s="174">
        <f t="shared" si="0"/>
        <v>15</v>
      </c>
      <c r="B23" s="175">
        <f t="shared" si="4"/>
        <v>8976.325804531185</v>
      </c>
      <c r="C23" s="174">
        <f t="shared" si="1"/>
        <v>768.06492486081038</v>
      </c>
      <c r="D23" s="175">
        <f t="shared" si="2"/>
        <v>8208.2608796703753</v>
      </c>
      <c r="E23" s="175">
        <f t="shared" si="3"/>
        <v>180312.48156929103</v>
      </c>
      <c r="F23" s="143"/>
      <c r="G23" s="163" t="s">
        <v>133</v>
      </c>
      <c r="H23" s="164"/>
      <c r="I23" s="165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spans="1:26" x14ac:dyDescent="0.25">
      <c r="A24" s="174">
        <f t="shared" si="0"/>
        <v>16</v>
      </c>
      <c r="B24" s="175">
        <f t="shared" si="4"/>
        <v>8976.325804531185</v>
      </c>
      <c r="C24" s="174">
        <f t="shared" si="1"/>
        <v>734.62310199355329</v>
      </c>
      <c r="D24" s="175">
        <f t="shared" si="2"/>
        <v>8241.7027025376319</v>
      </c>
      <c r="E24" s="175">
        <f t="shared" si="3"/>
        <v>172070.77886675339</v>
      </c>
      <c r="F24" s="143"/>
      <c r="G24" s="166" t="s">
        <v>127</v>
      </c>
      <c r="I24" s="167">
        <f>SUM(D21:D32)</f>
        <v>99920.696193794196</v>
      </c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spans="1:26" x14ac:dyDescent="0.25">
      <c r="A25" s="174">
        <f t="shared" si="0"/>
        <v>17</v>
      </c>
      <c r="B25" s="175">
        <f t="shared" si="4"/>
        <v>8976.325804531185</v>
      </c>
      <c r="C25" s="174">
        <f t="shared" si="1"/>
        <v>701.04503156629778</v>
      </c>
      <c r="D25" s="175">
        <f t="shared" si="2"/>
        <v>8275.2807729648866</v>
      </c>
      <c r="E25" s="175">
        <f t="shared" si="3"/>
        <v>163795.49809378851</v>
      </c>
      <c r="F25" s="143"/>
      <c r="G25" s="166" t="s">
        <v>128</v>
      </c>
      <c r="I25" s="167">
        <f>E32</f>
        <v>104916.78477417494</v>
      </c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spans="1:26" x14ac:dyDescent="0.25">
      <c r="A26" s="174">
        <f t="shared" si="0"/>
        <v>18</v>
      </c>
      <c r="B26" s="175">
        <f t="shared" si="4"/>
        <v>8976.325804531185</v>
      </c>
      <c r="C26" s="174">
        <f t="shared" si="1"/>
        <v>667.3301584837767</v>
      </c>
      <c r="D26" s="175">
        <f t="shared" si="2"/>
        <v>8308.9956460474077</v>
      </c>
      <c r="E26" s="175">
        <f t="shared" si="3"/>
        <v>155486.50244774111</v>
      </c>
      <c r="F26" s="143"/>
      <c r="G26" s="166" t="s">
        <v>129</v>
      </c>
      <c r="H26" s="143"/>
      <c r="I26" s="167">
        <f>SUM(C21:C32)</f>
        <v>7795.2134605800211</v>
      </c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spans="1:26" ht="15" x14ac:dyDescent="0.25">
      <c r="A27" s="174">
        <f t="shared" si="0"/>
        <v>19</v>
      </c>
      <c r="B27" s="175">
        <f t="shared" si="4"/>
        <v>8976.325804531185</v>
      </c>
      <c r="C27" s="174">
        <f t="shared" si="1"/>
        <v>633.4779253891719</v>
      </c>
      <c r="D27" s="175">
        <f t="shared" si="2"/>
        <v>8342.847879142013</v>
      </c>
      <c r="E27" s="175">
        <f t="shared" si="3"/>
        <v>147143.6545685991</v>
      </c>
      <c r="F27" s="143"/>
      <c r="G27" s="166" t="s">
        <v>134</v>
      </c>
      <c r="H27" s="143"/>
      <c r="I27" s="167">
        <f>SUM(D21:D32)</f>
        <v>99920.696193794196</v>
      </c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spans="1:26" ht="15" x14ac:dyDescent="0.25">
      <c r="A28" s="174">
        <f t="shared" si="0"/>
        <v>20</v>
      </c>
      <c r="B28" s="175">
        <f t="shared" si="4"/>
        <v>8976.325804531185</v>
      </c>
      <c r="C28" s="174">
        <f t="shared" si="1"/>
        <v>599.48777265490082</v>
      </c>
      <c r="D28" s="175">
        <f t="shared" si="2"/>
        <v>8376.8380318762847</v>
      </c>
      <c r="E28" s="175">
        <f t="shared" si="3"/>
        <v>138766.81653672282</v>
      </c>
      <c r="F28" s="143"/>
      <c r="G28" s="84"/>
      <c r="I28" s="27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spans="1:26" ht="15.6" x14ac:dyDescent="0.3">
      <c r="A29" s="174">
        <f t="shared" si="0"/>
        <v>21</v>
      </c>
      <c r="B29" s="175">
        <f t="shared" si="4"/>
        <v>8976.325804531185</v>
      </c>
      <c r="C29" s="174">
        <f t="shared" si="1"/>
        <v>565.35913837336489</v>
      </c>
      <c r="D29" s="175">
        <f t="shared" si="2"/>
        <v>8410.9666661578194</v>
      </c>
      <c r="E29" s="175">
        <f t="shared" si="3"/>
        <v>130355.849870565</v>
      </c>
      <c r="F29" s="143"/>
      <c r="G29" s="170" t="s">
        <v>135</v>
      </c>
      <c r="H29" s="143"/>
      <c r="I29" s="171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spans="1:26" ht="15" x14ac:dyDescent="0.25">
      <c r="A30" s="174">
        <f t="shared" si="0"/>
        <v>22</v>
      </c>
      <c r="B30" s="175">
        <f t="shared" si="4"/>
        <v>8976.325804531185</v>
      </c>
      <c r="C30" s="174">
        <f t="shared" si="1"/>
        <v>531.09145834766025</v>
      </c>
      <c r="D30" s="175">
        <f t="shared" si="2"/>
        <v>8445.2343461835244</v>
      </c>
      <c r="E30" s="175">
        <f t="shared" si="3"/>
        <v>121910.61552438147</v>
      </c>
      <c r="F30" s="143"/>
      <c r="G30" s="172" t="s">
        <v>136</v>
      </c>
      <c r="H30" s="48"/>
      <c r="I30" s="176">
        <f>SUM(C21:C32)</f>
        <v>7795.2134605800211</v>
      </c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spans="1:26" ht="15" x14ac:dyDescent="0.25">
      <c r="A31" s="174">
        <f t="shared" si="0"/>
        <v>23</v>
      </c>
      <c r="B31" s="175">
        <f t="shared" si="4"/>
        <v>8976.325804531185</v>
      </c>
      <c r="C31" s="174">
        <f t="shared" si="1"/>
        <v>496.6841660822509</v>
      </c>
      <c r="D31" s="175">
        <f t="shared" si="2"/>
        <v>8479.6416384489348</v>
      </c>
      <c r="E31" s="175">
        <f t="shared" si="3"/>
        <v>113430.97388593253</v>
      </c>
      <c r="F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spans="1:26" ht="15" x14ac:dyDescent="0.25">
      <c r="A32" s="174">
        <f t="shared" si="0"/>
        <v>24</v>
      </c>
      <c r="B32" s="175">
        <f t="shared" si="4"/>
        <v>8976.325804531185</v>
      </c>
      <c r="C32" s="174">
        <f t="shared" si="1"/>
        <v>462.1366927736035</v>
      </c>
      <c r="D32" s="175">
        <f t="shared" si="2"/>
        <v>8514.1891117575815</v>
      </c>
      <c r="E32" s="175">
        <f t="shared" si="3"/>
        <v>104916.78477417494</v>
      </c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spans="1:26" ht="15" x14ac:dyDescent="0.25">
      <c r="A33" s="177">
        <f t="shared" si="0"/>
        <v>25</v>
      </c>
      <c r="B33" s="178">
        <f t="shared" si="4"/>
        <v>8976.325804531185</v>
      </c>
      <c r="C33" s="177">
        <f t="shared" si="1"/>
        <v>427.44846730078444</v>
      </c>
      <c r="D33" s="178">
        <f t="shared" si="2"/>
        <v>8548.8773372304004</v>
      </c>
      <c r="E33" s="178">
        <f t="shared" si="3"/>
        <v>96367.907436944544</v>
      </c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spans="1:26" ht="15" x14ac:dyDescent="0.25">
      <c r="A34" s="177">
        <f t="shared" si="0"/>
        <v>26</v>
      </c>
      <c r="B34" s="178">
        <f t="shared" si="4"/>
        <v>8976.325804531185</v>
      </c>
      <c r="C34" s="177">
        <f t="shared" si="1"/>
        <v>392.61891621601825</v>
      </c>
      <c r="D34" s="178">
        <f t="shared" si="2"/>
        <v>8583.706888315166</v>
      </c>
      <c r="E34" s="178">
        <f t="shared" si="3"/>
        <v>87784.200548629378</v>
      </c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spans="1:26" ht="15.6" x14ac:dyDescent="0.3">
      <c r="A35" s="177">
        <f t="shared" si="0"/>
        <v>27</v>
      </c>
      <c r="B35" s="178">
        <f t="shared" si="4"/>
        <v>8976.325804531185</v>
      </c>
      <c r="C35" s="177">
        <f t="shared" si="1"/>
        <v>357.64746373520757</v>
      </c>
      <c r="D35" s="178">
        <f t="shared" si="2"/>
        <v>8618.6783407959774</v>
      </c>
      <c r="E35" s="178">
        <f t="shared" si="3"/>
        <v>79165.522207833405</v>
      </c>
      <c r="F35" s="143"/>
      <c r="G35" s="163" t="s">
        <v>137</v>
      </c>
      <c r="H35" s="164"/>
      <c r="I35" s="165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spans="1:26" ht="15" x14ac:dyDescent="0.25">
      <c r="A36" s="177">
        <f t="shared" si="0"/>
        <v>28</v>
      </c>
      <c r="B36" s="178">
        <f t="shared" si="4"/>
        <v>8976.325804531185</v>
      </c>
      <c r="C36" s="177">
        <f t="shared" si="1"/>
        <v>322.53353172841463</v>
      </c>
      <c r="D36" s="178">
        <f t="shared" si="2"/>
        <v>8653.7922728027697</v>
      </c>
      <c r="E36" s="178">
        <f t="shared" si="3"/>
        <v>70511.729935030628</v>
      </c>
      <c r="F36" s="143"/>
      <c r="G36" s="166" t="s">
        <v>127</v>
      </c>
      <c r="I36" s="167">
        <f>SUM(D33:D44)</f>
        <v>104916.78477418133</v>
      </c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spans="1:26" ht="15" x14ac:dyDescent="0.25">
      <c r="A37" s="177">
        <f t="shared" si="0"/>
        <v>29</v>
      </c>
      <c r="B37" s="178">
        <f t="shared" si="4"/>
        <v>8976.325804531185</v>
      </c>
      <c r="C37" s="177">
        <f t="shared" si="1"/>
        <v>287.27653971030395</v>
      </c>
      <c r="D37" s="178">
        <f t="shared" si="2"/>
        <v>8689.0492648208819</v>
      </c>
      <c r="E37" s="178">
        <f t="shared" si="3"/>
        <v>61822.680670209746</v>
      </c>
      <c r="F37" s="143"/>
      <c r="G37" s="166" t="s">
        <v>128</v>
      </c>
      <c r="I37" s="167">
        <v>0</v>
      </c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spans="1:26" ht="15" x14ac:dyDescent="0.25">
      <c r="A38" s="177">
        <f t="shared" si="0"/>
        <v>30</v>
      </c>
      <c r="B38" s="178">
        <f t="shared" si="4"/>
        <v>8976.325804531185</v>
      </c>
      <c r="C38" s="177">
        <f t="shared" si="1"/>
        <v>251.87590483054623</v>
      </c>
      <c r="D38" s="178">
        <f t="shared" si="2"/>
        <v>8724.4498997006394</v>
      </c>
      <c r="E38" s="178">
        <f t="shared" si="3"/>
        <v>53098.230770509108</v>
      </c>
      <c r="F38" s="143"/>
      <c r="G38" s="166" t="s">
        <v>129</v>
      </c>
      <c r="H38" s="143"/>
      <c r="I38" s="167">
        <f>SUM(C33:C44)</f>
        <v>2799.1248801928759</v>
      </c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spans="1:26" ht="15" x14ac:dyDescent="0.25">
      <c r="A39" s="177">
        <f t="shared" si="0"/>
        <v>31</v>
      </c>
      <c r="B39" s="178">
        <f t="shared" si="4"/>
        <v>8976.325804531185</v>
      </c>
      <c r="C39" s="177">
        <f t="shared" si="1"/>
        <v>216.33104186418254</v>
      </c>
      <c r="D39" s="178">
        <f t="shared" si="2"/>
        <v>8759.9947626670019</v>
      </c>
      <c r="E39" s="178">
        <f t="shared" si="3"/>
        <v>44338.236007842104</v>
      </c>
      <c r="F39" s="143"/>
      <c r="G39" s="166" t="s">
        <v>138</v>
      </c>
      <c r="H39" s="143"/>
      <c r="I39" s="167">
        <f>SUM(D33:D44)</f>
        <v>104916.78477418133</v>
      </c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spans="1:26" ht="15" x14ac:dyDescent="0.25">
      <c r="A40" s="177">
        <f t="shared" si="0"/>
        <v>32</v>
      </c>
      <c r="B40" s="178">
        <f t="shared" si="4"/>
        <v>8976.325804531185</v>
      </c>
      <c r="C40" s="177">
        <f t="shared" si="1"/>
        <v>180.64136320195004</v>
      </c>
      <c r="D40" s="178">
        <f t="shared" si="2"/>
        <v>8795.6844413292347</v>
      </c>
      <c r="E40" s="178">
        <f t="shared" si="3"/>
        <v>35542.55156651287</v>
      </c>
      <c r="F40" s="143"/>
      <c r="G40" s="84"/>
      <c r="I40" s="27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spans="1:26" ht="15.6" x14ac:dyDescent="0.3">
      <c r="A41" s="177">
        <f t="shared" si="0"/>
        <v>33</v>
      </c>
      <c r="B41" s="178">
        <f t="shared" si="4"/>
        <v>8976.325804531185</v>
      </c>
      <c r="C41" s="177">
        <f t="shared" si="1"/>
        <v>144.80627884056787</v>
      </c>
      <c r="D41" s="178">
        <f t="shared" si="2"/>
        <v>8831.5195256906172</v>
      </c>
      <c r="E41" s="178">
        <f t="shared" si="3"/>
        <v>26711.032040822254</v>
      </c>
      <c r="F41" s="143"/>
      <c r="G41" s="170" t="s">
        <v>139</v>
      </c>
      <c r="H41" s="143"/>
      <c r="I41" s="171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spans="1:26" ht="15" x14ac:dyDescent="0.25">
      <c r="A42" s="177">
        <f t="shared" si="0"/>
        <v>34</v>
      </c>
      <c r="B42" s="178">
        <f t="shared" si="4"/>
        <v>8976.325804531185</v>
      </c>
      <c r="C42" s="177">
        <f t="shared" si="1"/>
        <v>108.82519637298334</v>
      </c>
      <c r="D42" s="178">
        <f t="shared" si="2"/>
        <v>8867.5006081582014</v>
      </c>
      <c r="E42" s="178">
        <f t="shared" si="3"/>
        <v>17843.531432664051</v>
      </c>
      <c r="F42" s="143"/>
      <c r="G42" s="172" t="s">
        <v>136</v>
      </c>
      <c r="H42" s="48"/>
      <c r="I42" s="176">
        <f>SUM(C33:C44)</f>
        <v>2799.1248801928759</v>
      </c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spans="1:26" ht="15" x14ac:dyDescent="0.25">
      <c r="A43" s="177">
        <f t="shared" si="0"/>
        <v>35</v>
      </c>
      <c r="B43" s="178">
        <f t="shared" si="4"/>
        <v>8976.325804531185</v>
      </c>
      <c r="C43" s="177">
        <f t="shared" si="1"/>
        <v>72.697520978578794</v>
      </c>
      <c r="D43" s="178">
        <f t="shared" si="2"/>
        <v>8903.6282835526054</v>
      </c>
      <c r="E43" s="178">
        <f t="shared" si="3"/>
        <v>8939.9031491114456</v>
      </c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spans="1:26" ht="15" x14ac:dyDescent="0.25">
      <c r="A44" s="177">
        <f t="shared" si="0"/>
        <v>36</v>
      </c>
      <c r="B44" s="178">
        <f t="shared" si="4"/>
        <v>8976.325804531185</v>
      </c>
      <c r="C44" s="177">
        <f t="shared" si="1"/>
        <v>36.422655413338219</v>
      </c>
      <c r="D44" s="178">
        <f t="shared" si="2"/>
        <v>8939.9031491178466</v>
      </c>
      <c r="E44" s="178">
        <f t="shared" si="3"/>
        <v>-6.4010237110778689E-9</v>
      </c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spans="1:26" ht="15" x14ac:dyDescent="0.25">
      <c r="A45" s="159">
        <f t="shared" si="0"/>
        <v>37</v>
      </c>
      <c r="B45" s="156">
        <f t="shared" si="4"/>
        <v>8976.325804531185</v>
      </c>
      <c r="C45" s="156">
        <f t="shared" si="1"/>
        <v>-2.6078837436216419E-11</v>
      </c>
      <c r="D45" s="156">
        <f t="shared" si="2"/>
        <v>8976.3258045312105</v>
      </c>
      <c r="E45" s="156">
        <f t="shared" si="3"/>
        <v>-8976.3258045376115</v>
      </c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spans="1:26" ht="15" x14ac:dyDescent="0.25">
      <c r="A46" s="159">
        <f t="shared" si="0"/>
        <v>38</v>
      </c>
      <c r="B46" s="156">
        <f t="shared" si="4"/>
        <v>8976.325804531185</v>
      </c>
      <c r="C46" s="156">
        <f t="shared" si="1"/>
        <v>-36.571047381986986</v>
      </c>
      <c r="D46" s="156">
        <f t="shared" si="2"/>
        <v>9012.8968519131722</v>
      </c>
      <c r="E46" s="156">
        <f t="shared" si="3"/>
        <v>-17989.222656450784</v>
      </c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spans="1:26" ht="15" x14ac:dyDescent="0.25">
      <c r="A47" s="159">
        <f t="shared" si="0"/>
        <v>39</v>
      </c>
      <c r="B47" s="156">
        <f t="shared" si="4"/>
        <v>8976.325804531185</v>
      </c>
      <c r="C47" s="156">
        <f t="shared" si="1"/>
        <v>-73.291091306156574</v>
      </c>
      <c r="D47" s="156">
        <f t="shared" si="2"/>
        <v>9049.6168958373419</v>
      </c>
      <c r="E47" s="156">
        <f t="shared" si="3"/>
        <v>-27038.839552288126</v>
      </c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spans="1:26" ht="15" x14ac:dyDescent="0.25">
      <c r="A48" s="159">
        <f t="shared" si="0"/>
        <v>40</v>
      </c>
      <c r="B48" s="156">
        <f t="shared" si="4"/>
        <v>8976.325804531185</v>
      </c>
      <c r="C48" s="156">
        <f t="shared" si="1"/>
        <v>-110.16073880928055</v>
      </c>
      <c r="D48" s="156">
        <f t="shared" si="2"/>
        <v>9086.4865433404648</v>
      </c>
      <c r="E48" s="156">
        <f t="shared" si="3"/>
        <v>-36125.326095628589</v>
      </c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spans="1:26" ht="15" x14ac:dyDescent="0.25">
      <c r="A49" s="159">
        <f t="shared" si="0"/>
        <v>41</v>
      </c>
      <c r="B49" s="156">
        <f t="shared" si="4"/>
        <v>8976.325804531185</v>
      </c>
      <c r="C49" s="156">
        <f t="shared" si="1"/>
        <v>-147.1805994012735</v>
      </c>
      <c r="D49" s="156">
        <f t="shared" si="2"/>
        <v>9123.5064039324589</v>
      </c>
      <c r="E49" s="156">
        <f t="shared" si="3"/>
        <v>-45248.832499561046</v>
      </c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spans="1:26" ht="15" x14ac:dyDescent="0.25">
      <c r="A50" s="159">
        <f t="shared" si="0"/>
        <v>42</v>
      </c>
      <c r="B50" s="156">
        <f t="shared" si="4"/>
        <v>8976.325804531185</v>
      </c>
      <c r="C50" s="156">
        <f t="shared" si="1"/>
        <v>-184.35128507529498</v>
      </c>
      <c r="D50" s="156">
        <f t="shared" si="2"/>
        <v>9160.6770896064809</v>
      </c>
      <c r="E50" s="156">
        <f t="shared" si="3"/>
        <v>-54409.50958916753</v>
      </c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spans="1:26" ht="15" x14ac:dyDescent="0.25">
      <c r="A51" s="159">
        <f t="shared" si="0"/>
        <v>43</v>
      </c>
      <c r="B51" s="156">
        <f t="shared" si="4"/>
        <v>8976.325804531185</v>
      </c>
      <c r="C51" s="156">
        <f t="shared" si="1"/>
        <v>-221.67341031786671</v>
      </c>
      <c r="D51" s="156">
        <f t="shared" si="2"/>
        <v>9197.999214849051</v>
      </c>
      <c r="E51" s="156">
        <f t="shared" si="3"/>
        <v>-63607.508804016579</v>
      </c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spans="1:26" ht="15" x14ac:dyDescent="0.25">
      <c r="A52" s="159">
        <f t="shared" si="0"/>
        <v>44</v>
      </c>
      <c r="B52" s="156">
        <f t="shared" si="4"/>
        <v>8976.325804531185</v>
      </c>
      <c r="C52" s="156">
        <f t="shared" si="1"/>
        <v>-259.14759211903089</v>
      </c>
      <c r="D52" s="156">
        <f t="shared" si="2"/>
        <v>9235.4733966502154</v>
      </c>
      <c r="E52" s="156">
        <f t="shared" si="3"/>
        <v>-72842.982200666796</v>
      </c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spans="1:26" ht="15" x14ac:dyDescent="0.25">
      <c r="A53" s="159">
        <f t="shared" si="0"/>
        <v>45</v>
      </c>
      <c r="B53" s="156">
        <f t="shared" si="4"/>
        <v>8976.325804531185</v>
      </c>
      <c r="C53" s="156">
        <f t="shared" si="1"/>
        <v>-296.77444998254998</v>
      </c>
      <c r="D53" s="156">
        <f t="shared" si="2"/>
        <v>9273.1002545137344</v>
      </c>
      <c r="E53" s="156">
        <f t="shared" si="3"/>
        <v>-82116.082455180527</v>
      </c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spans="1:26" ht="15" x14ac:dyDescent="0.25">
      <c r="A54" s="159">
        <f t="shared" si="0"/>
        <v>46</v>
      </c>
      <c r="B54" s="156">
        <f t="shared" si="4"/>
        <v>8976.325804531185</v>
      </c>
      <c r="C54" s="156">
        <f t="shared" si="1"/>
        <v>-334.55460593614799</v>
      </c>
      <c r="D54" s="156">
        <f t="shared" si="2"/>
        <v>9310.8804104673327</v>
      </c>
      <c r="E54" s="156">
        <f t="shared" si="3"/>
        <v>-91426.96286564786</v>
      </c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spans="1:26" ht="15" x14ac:dyDescent="0.25">
      <c r="A55" s="159">
        <f t="shared" si="0"/>
        <v>47</v>
      </c>
      <c r="B55" s="156">
        <f t="shared" si="4"/>
        <v>8976.325804531185</v>
      </c>
      <c r="C55" s="156">
        <f t="shared" si="1"/>
        <v>-372.4886845417937</v>
      </c>
      <c r="D55" s="156">
        <f t="shared" si="2"/>
        <v>9348.8144890729782</v>
      </c>
      <c r="E55" s="156">
        <f t="shared" si="3"/>
        <v>-100775.77735472083</v>
      </c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spans="1:26" ht="15" x14ac:dyDescent="0.25">
      <c r="A56" s="159">
        <f t="shared" si="0"/>
        <v>48</v>
      </c>
      <c r="B56" s="156">
        <f t="shared" si="4"/>
        <v>8976.325804531185</v>
      </c>
      <c r="C56" s="156">
        <f t="shared" si="1"/>
        <v>-410.57731290602516</v>
      </c>
      <c r="D56" s="156">
        <f t="shared" si="2"/>
        <v>9386.9031174372103</v>
      </c>
      <c r="E56" s="156">
        <f t="shared" si="3"/>
        <v>-110162.68047215804</v>
      </c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spans="1:26" ht="15" x14ac:dyDescent="0.25">
      <c r="A57" s="159">
        <f t="shared" si="0"/>
        <v>49</v>
      </c>
      <c r="B57" s="156">
        <f t="shared" si="4"/>
        <v>8976.325804531185</v>
      </c>
      <c r="C57" s="156">
        <f t="shared" si="1"/>
        <v>-448.82112069031723</v>
      </c>
      <c r="D57" s="156">
        <f t="shared" si="2"/>
        <v>9425.1469252215029</v>
      </c>
      <c r="E57" s="156">
        <f t="shared" si="3"/>
        <v>-119587.82739737954</v>
      </c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spans="1:26" ht="15" x14ac:dyDescent="0.25">
      <c r="A58" s="159">
        <f t="shared" si="0"/>
        <v>50</v>
      </c>
      <c r="B58" s="156">
        <f t="shared" si="4"/>
        <v>8976.325804531185</v>
      </c>
      <c r="C58" s="156">
        <f t="shared" si="1"/>
        <v>-487.22074012149051</v>
      </c>
      <c r="D58" s="156">
        <f t="shared" si="2"/>
        <v>9463.5465446526759</v>
      </c>
      <c r="E58" s="156">
        <f t="shared" si="3"/>
        <v>-129051.37394203222</v>
      </c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spans="1:26" ht="15" x14ac:dyDescent="0.25">
      <c r="A59" s="159">
        <f t="shared" si="0"/>
        <v>51</v>
      </c>
      <c r="B59" s="156">
        <f t="shared" si="4"/>
        <v>8976.325804531185</v>
      </c>
      <c r="C59" s="156">
        <f t="shared" si="1"/>
        <v>-525.77680600216297</v>
      </c>
      <c r="D59" s="156">
        <f t="shared" si="2"/>
        <v>9502.1026105333476</v>
      </c>
      <c r="E59" s="156">
        <f t="shared" si="3"/>
        <v>-138553.47655256558</v>
      </c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spans="1:26" ht="15" x14ac:dyDescent="0.25">
      <c r="A60" s="159">
        <f t="shared" si="0"/>
        <v>52</v>
      </c>
      <c r="B60" s="156">
        <f t="shared" si="4"/>
        <v>8976.325804531185</v>
      </c>
      <c r="C60" s="156">
        <f t="shared" si="1"/>
        <v>-564.48995572124431</v>
      </c>
      <c r="D60" s="156">
        <f t="shared" si="2"/>
        <v>9540.8157602524298</v>
      </c>
      <c r="E60" s="156">
        <f t="shared" si="3"/>
        <v>-148094.292312818</v>
      </c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spans="1:26" ht="15" x14ac:dyDescent="0.25">
      <c r="A61" s="159">
        <f t="shared" si="0"/>
        <v>53</v>
      </c>
      <c r="B61" s="156">
        <f t="shared" si="4"/>
        <v>8976.325804531185</v>
      </c>
      <c r="C61" s="156">
        <f t="shared" si="1"/>
        <v>-603.36082926447273</v>
      </c>
      <c r="D61" s="156">
        <f t="shared" si="2"/>
        <v>9579.6866337956581</v>
      </c>
      <c r="E61" s="156">
        <f t="shared" si="3"/>
        <v>-157673.97894661364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spans="1:26" ht="15" x14ac:dyDescent="0.25">
      <c r="A62" s="159">
        <f t="shared" si="0"/>
        <v>54</v>
      </c>
      <c r="B62" s="156">
        <f t="shared" si="4"/>
        <v>8976.325804531185</v>
      </c>
      <c r="C62" s="156">
        <f t="shared" si="1"/>
        <v>-642.39006922499516</v>
      </c>
      <c r="D62" s="156">
        <f t="shared" si="2"/>
        <v>9618.7158737561804</v>
      </c>
      <c r="E62" s="156">
        <f t="shared" si="3"/>
        <v>-167292.69482036983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spans="1:26" ht="15" x14ac:dyDescent="0.25">
      <c r="A63" s="159">
        <f t="shared" si="0"/>
        <v>55</v>
      </c>
      <c r="B63" s="156">
        <f t="shared" si="4"/>
        <v>8976.325804531185</v>
      </c>
      <c r="C63" s="156">
        <f t="shared" si="1"/>
        <v>-681.5783208139901</v>
      </c>
      <c r="D63" s="156">
        <f t="shared" si="2"/>
        <v>9657.904125345176</v>
      </c>
      <c r="E63" s="156">
        <f t="shared" si="3"/>
        <v>-176950.598945715</v>
      </c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spans="1:26" ht="15" x14ac:dyDescent="0.25">
      <c r="A64" s="159">
        <f t="shared" si="0"/>
        <v>56</v>
      </c>
      <c r="B64" s="156">
        <f t="shared" si="4"/>
        <v>8976.325804531185</v>
      </c>
      <c r="C64" s="156">
        <f t="shared" si="1"/>
        <v>-720.92623187133393</v>
      </c>
      <c r="D64" s="156">
        <f t="shared" si="2"/>
        <v>9697.2520364025186</v>
      </c>
      <c r="E64" s="156">
        <f t="shared" si="3"/>
        <v>-186647.85098211752</v>
      </c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spans="1:26" ht="15" x14ac:dyDescent="0.25">
      <c r="A65" s="159">
        <f t="shared" si="0"/>
        <v>57</v>
      </c>
      <c r="B65" s="156">
        <f t="shared" si="4"/>
        <v>8976.325804531185</v>
      </c>
      <c r="C65" s="156">
        <f t="shared" si="1"/>
        <v>-760.4344528763105</v>
      </c>
      <c r="D65" s="156">
        <f t="shared" si="2"/>
        <v>9736.7602574074954</v>
      </c>
      <c r="E65" s="156">
        <f t="shared" si="3"/>
        <v>-196384.61123952502</v>
      </c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spans="1:26" ht="15" x14ac:dyDescent="0.25">
      <c r="A66" s="159">
        <f t="shared" si="0"/>
        <v>58</v>
      </c>
      <c r="B66" s="156">
        <f t="shared" si="4"/>
        <v>8976.325804531185</v>
      </c>
      <c r="C66" s="156">
        <f t="shared" si="1"/>
        <v>-800.10363695836486</v>
      </c>
      <c r="D66" s="156">
        <f t="shared" si="2"/>
        <v>9776.4294414895503</v>
      </c>
      <c r="E66" s="156">
        <f t="shared" si="3"/>
        <v>-206161.04068101457</v>
      </c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spans="1:26" ht="15" x14ac:dyDescent="0.25">
      <c r="A67" s="159">
        <f t="shared" si="0"/>
        <v>59</v>
      </c>
      <c r="B67" s="156">
        <f t="shared" si="4"/>
        <v>8976.325804531185</v>
      </c>
      <c r="C67" s="156">
        <f t="shared" si="1"/>
        <v>-839.93443990790024</v>
      </c>
      <c r="D67" s="156">
        <f t="shared" si="2"/>
        <v>9816.260244439085</v>
      </c>
      <c r="E67" s="156">
        <f t="shared" si="3"/>
        <v>-215977.30092545366</v>
      </c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spans="1:26" ht="15" x14ac:dyDescent="0.25">
      <c r="A68" s="159">
        <f t="shared" si="0"/>
        <v>60</v>
      </c>
      <c r="B68" s="156">
        <f t="shared" si="4"/>
        <v>8976.325804531185</v>
      </c>
      <c r="C68" s="156">
        <f t="shared" si="1"/>
        <v>-879.92752018711917</v>
      </c>
      <c r="D68" s="156">
        <f t="shared" si="2"/>
        <v>9856.2533247183037</v>
      </c>
      <c r="E68" s="156">
        <f t="shared" si="3"/>
        <v>-225833.55425017196</v>
      </c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spans="1:26" ht="15" x14ac:dyDescent="0.25">
      <c r="A69" s="159">
        <f t="shared" si="0"/>
        <v>61</v>
      </c>
      <c r="B69" s="156">
        <f t="shared" si="4"/>
        <v>8976.325804531185</v>
      </c>
      <c r="C69" s="156">
        <f t="shared" si="1"/>
        <v>-920.08353894090897</v>
      </c>
      <c r="D69" s="156">
        <f t="shared" si="2"/>
        <v>9896.4093434720944</v>
      </c>
      <c r="E69" s="156">
        <f t="shared" si="3"/>
        <v>-235729.96359364406</v>
      </c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spans="1:26" ht="15" x14ac:dyDescent="0.25">
      <c r="A70" s="159">
        <f t="shared" si="0"/>
        <v>62</v>
      </c>
      <c r="B70" s="156">
        <f t="shared" si="4"/>
        <v>8976.325804531185</v>
      </c>
      <c r="C70" s="156">
        <f t="shared" si="1"/>
        <v>-960.40316000777159</v>
      </c>
      <c r="D70" s="156">
        <f t="shared" si="2"/>
        <v>9936.7289645389574</v>
      </c>
      <c r="E70" s="156">
        <f t="shared" si="3"/>
        <v>-245666.69255818301</v>
      </c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spans="1:26" ht="15" x14ac:dyDescent="0.25">
      <c r="A71" s="159">
        <f t="shared" si="0"/>
        <v>63</v>
      </c>
      <c r="B71" s="156">
        <f t="shared" si="4"/>
        <v>8976.325804531185</v>
      </c>
      <c r="C71" s="156">
        <f t="shared" si="1"/>
        <v>-1000.8870499307974</v>
      </c>
      <c r="D71" s="156">
        <f t="shared" si="2"/>
        <v>9977.2128544619827</v>
      </c>
      <c r="E71" s="156">
        <f t="shared" si="3"/>
        <v>-255643.90541264499</v>
      </c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spans="1:26" ht="15" x14ac:dyDescent="0.25">
      <c r="A72" s="159">
        <f t="shared" si="0"/>
        <v>64</v>
      </c>
      <c r="B72" s="156">
        <f t="shared" si="4"/>
        <v>8976.325804531185</v>
      </c>
      <c r="C72" s="156">
        <f t="shared" si="1"/>
        <v>-1041.5358779686846</v>
      </c>
      <c r="D72" s="156">
        <f t="shared" si="2"/>
        <v>10017.86168249987</v>
      </c>
      <c r="E72" s="156">
        <f t="shared" si="3"/>
        <v>-265661.76709514484</v>
      </c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spans="1:26" ht="15" x14ac:dyDescent="0.25">
      <c r="A73" s="159">
        <f t="shared" si="0"/>
        <v>65</v>
      </c>
      <c r="B73" s="156">
        <f t="shared" si="4"/>
        <v>8976.325804531185</v>
      </c>
      <c r="C73" s="156">
        <f t="shared" si="1"/>
        <v>-1082.3503161068027</v>
      </c>
      <c r="D73" s="156">
        <f t="shared" si="2"/>
        <v>10058.676120637987</v>
      </c>
      <c r="E73" s="156">
        <f t="shared" si="3"/>
        <v>-275720.44321578281</v>
      </c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spans="1:26" ht="15" x14ac:dyDescent="0.25">
      <c r="A74" s="159">
        <f t="shared" si="0"/>
        <v>66</v>
      </c>
      <c r="B74" s="156">
        <f t="shared" si="4"/>
        <v>8976.325804531185</v>
      </c>
      <c r="C74" s="156">
        <f t="shared" si="1"/>
        <v>-1123.3310390683018</v>
      </c>
      <c r="D74" s="156">
        <f t="shared" si="2"/>
        <v>10099.656843599487</v>
      </c>
      <c r="E74" s="156">
        <f t="shared" si="3"/>
        <v>-285820.10005938233</v>
      </c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spans="1:26" ht="15" x14ac:dyDescent="0.25">
      <c r="A75" s="159">
        <f t="shared" si="0"/>
        <v>67</v>
      </c>
      <c r="B75" s="156">
        <f t="shared" si="4"/>
        <v>8976.325804531185</v>
      </c>
      <c r="C75" s="156">
        <f t="shared" si="1"/>
        <v>-1164.478724325267</v>
      </c>
      <c r="D75" s="156">
        <f t="shared" si="2"/>
        <v>10140.804528856452</v>
      </c>
      <c r="E75" s="156">
        <f t="shared" si="3"/>
        <v>-295960.9045882388</v>
      </c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spans="1:26" ht="15" x14ac:dyDescent="0.25">
      <c r="A76" s="159">
        <f t="shared" si="0"/>
        <v>68</v>
      </c>
      <c r="B76" s="156">
        <f t="shared" si="4"/>
        <v>8976.325804531185</v>
      </c>
      <c r="C76" s="156">
        <f t="shared" si="1"/>
        <v>-1205.7940521099163</v>
      </c>
      <c r="D76" s="156">
        <f t="shared" si="2"/>
        <v>10182.1198566411</v>
      </c>
      <c r="E76" s="156">
        <f t="shared" si="3"/>
        <v>-306143.02444487991</v>
      </c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spans="1:26" ht="15" x14ac:dyDescent="0.25">
      <c r="A77" s="159">
        <f t="shared" si="0"/>
        <v>69</v>
      </c>
      <c r="B77" s="156">
        <f t="shared" si="4"/>
        <v>8976.325804531185</v>
      </c>
      <c r="C77" s="156">
        <f t="shared" si="1"/>
        <v>-1247.2777054258484</v>
      </c>
      <c r="D77" s="156">
        <f t="shared" si="2"/>
        <v>10223.603509957033</v>
      </c>
      <c r="E77" s="156">
        <f t="shared" si="3"/>
        <v>-316366.62795483693</v>
      </c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spans="1:26" ht="15" x14ac:dyDescent="0.25">
      <c r="A78" s="159">
        <f t="shared" si="0"/>
        <v>70</v>
      </c>
      <c r="B78" s="156">
        <f t="shared" si="4"/>
        <v>8976.325804531185</v>
      </c>
      <c r="C78" s="156">
        <f t="shared" si="1"/>
        <v>-1288.9303700593316</v>
      </c>
      <c r="D78" s="156">
        <f t="shared" si="2"/>
        <v>10265.256174590517</v>
      </c>
      <c r="E78" s="156">
        <f t="shared" si="3"/>
        <v>-326631.88412942743</v>
      </c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spans="1:26" ht="15" x14ac:dyDescent="0.25">
      <c r="A79" s="159">
        <f t="shared" si="0"/>
        <v>71</v>
      </c>
      <c r="B79" s="156">
        <f t="shared" si="4"/>
        <v>8976.325804531185</v>
      </c>
      <c r="C79" s="156">
        <f t="shared" si="1"/>
        <v>-1330.7527345906424</v>
      </c>
      <c r="D79" s="156">
        <f t="shared" si="2"/>
        <v>10307.078539121827</v>
      </c>
      <c r="E79" s="156">
        <f t="shared" si="3"/>
        <v>-336938.96266854927</v>
      </c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spans="1:26" ht="15" x14ac:dyDescent="0.25">
      <c r="A80" s="159">
        <f t="shared" si="0"/>
        <v>72</v>
      </c>
      <c r="B80" s="156">
        <f t="shared" si="4"/>
        <v>8976.325804531185</v>
      </c>
      <c r="C80" s="156">
        <f t="shared" si="1"/>
        <v>-1372.745490405448</v>
      </c>
      <c r="D80" s="156">
        <f t="shared" si="2"/>
        <v>10349.071294936633</v>
      </c>
      <c r="E80" s="156">
        <f t="shared" si="3"/>
        <v>-347288.03396348591</v>
      </c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spans="1:26" ht="15" x14ac:dyDescent="0.25">
      <c r="A81" s="159">
        <f t="shared" si="0"/>
        <v>73</v>
      </c>
      <c r="B81" s="156">
        <f t="shared" si="4"/>
        <v>8976.325804531185</v>
      </c>
      <c r="C81" s="156">
        <f t="shared" si="1"/>
        <v>-1414.9093317062357</v>
      </c>
      <c r="D81" s="156">
        <f t="shared" si="2"/>
        <v>10391.235136237421</v>
      </c>
      <c r="E81" s="156">
        <f t="shared" si="3"/>
        <v>-357679.26909972331</v>
      </c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spans="1:26" ht="15" x14ac:dyDescent="0.25">
      <c r="A82" s="159">
        <f t="shared" si="0"/>
        <v>74</v>
      </c>
      <c r="B82" s="156">
        <f t="shared" si="4"/>
        <v>8976.325804531185</v>
      </c>
      <c r="C82" s="156">
        <f t="shared" si="1"/>
        <v>-1457.2449555237895</v>
      </c>
      <c r="D82" s="156">
        <f t="shared" si="2"/>
        <v>10433.570760054974</v>
      </c>
      <c r="E82" s="156">
        <f t="shared" si="3"/>
        <v>-368112.83985977829</v>
      </c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spans="1:26" ht="15" x14ac:dyDescent="0.25">
      <c r="A83" s="159">
        <f t="shared" si="0"/>
        <v>75</v>
      </c>
      <c r="B83" s="156">
        <f t="shared" si="4"/>
        <v>8976.325804531185</v>
      </c>
      <c r="C83" s="156">
        <f t="shared" si="1"/>
        <v>-1499.7530617287134</v>
      </c>
      <c r="D83" s="156">
        <f t="shared" si="2"/>
        <v>10476.078866259899</v>
      </c>
      <c r="E83" s="156">
        <f t="shared" si="3"/>
        <v>-378588.91872603819</v>
      </c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spans="1:26" ht="15" x14ac:dyDescent="0.25">
      <c r="A84" s="159">
        <f t="shared" si="0"/>
        <v>76</v>
      </c>
      <c r="B84" s="156">
        <f t="shared" si="4"/>
        <v>8976.325804531185</v>
      </c>
      <c r="C84" s="156">
        <f t="shared" si="1"/>
        <v>-1542.4343530430008</v>
      </c>
      <c r="D84" s="156">
        <f t="shared" si="2"/>
        <v>10518.760157574186</v>
      </c>
      <c r="E84" s="156">
        <f t="shared" si="3"/>
        <v>-389107.67888361239</v>
      </c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spans="1:26" ht="15" x14ac:dyDescent="0.25">
      <c r="A85" s="159">
        <f t="shared" si="0"/>
        <v>77</v>
      </c>
      <c r="B85" s="156">
        <f t="shared" si="4"/>
        <v>8976.325804531185</v>
      </c>
      <c r="C85" s="156">
        <f t="shared" si="1"/>
        <v>-1585.289535051651</v>
      </c>
      <c r="D85" s="156">
        <f t="shared" si="2"/>
        <v>10561.615339582837</v>
      </c>
      <c r="E85" s="156">
        <f t="shared" si="3"/>
        <v>-399669.29422319523</v>
      </c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spans="1:26" ht="15" x14ac:dyDescent="0.25">
      <c r="A86" s="159">
        <f t="shared" si="0"/>
        <v>78</v>
      </c>
      <c r="B86" s="156">
        <f t="shared" si="4"/>
        <v>8976.325804531185</v>
      </c>
      <c r="C86" s="156">
        <f t="shared" si="1"/>
        <v>-1628.3193162143348</v>
      </c>
      <c r="D86" s="156">
        <f t="shared" si="2"/>
        <v>10604.645120745519</v>
      </c>
      <c r="E86" s="156">
        <f t="shared" si="3"/>
        <v>-410273.93934394076</v>
      </c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spans="1:26" ht="15" x14ac:dyDescent="0.25">
      <c r="A87" s="159">
        <f t="shared" si="0"/>
        <v>79</v>
      </c>
      <c r="B87" s="156">
        <f t="shared" si="4"/>
        <v>8976.325804531185</v>
      </c>
      <c r="C87" s="156">
        <f t="shared" si="1"/>
        <v>-1671.5244078771054</v>
      </c>
      <c r="D87" s="156">
        <f t="shared" si="2"/>
        <v>10647.85021240829</v>
      </c>
      <c r="E87" s="156">
        <f t="shared" si="3"/>
        <v>-420921.78955634905</v>
      </c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spans="1:26" ht="15" x14ac:dyDescent="0.25">
      <c r="A88" s="159">
        <f t="shared" si="0"/>
        <v>80</v>
      </c>
      <c r="B88" s="156">
        <f t="shared" si="4"/>
        <v>8976.325804531185</v>
      </c>
      <c r="C88" s="156">
        <f t="shared" si="1"/>
        <v>-1714.9055242841589</v>
      </c>
      <c r="D88" s="156">
        <f t="shared" si="2"/>
        <v>10691.231328815344</v>
      </c>
      <c r="E88" s="156">
        <f t="shared" si="3"/>
        <v>-431613.02088516438</v>
      </c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spans="1:26" ht="15" x14ac:dyDescent="0.25">
      <c r="A89" s="159">
        <f t="shared" si="0"/>
        <v>81</v>
      </c>
      <c r="B89" s="156">
        <f t="shared" si="4"/>
        <v>8976.325804531185</v>
      </c>
      <c r="C89" s="156">
        <f t="shared" si="1"/>
        <v>-1758.4633825896406</v>
      </c>
      <c r="D89" s="156">
        <f t="shared" si="2"/>
        <v>10734.789187120825</v>
      </c>
      <c r="E89" s="156">
        <f t="shared" si="3"/>
        <v>-442347.81007228518</v>
      </c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spans="1:26" ht="15" x14ac:dyDescent="0.25">
      <c r="A90" s="159">
        <f t="shared" si="0"/>
        <v>82</v>
      </c>
      <c r="B90" s="156">
        <f t="shared" si="4"/>
        <v>8976.325804531185</v>
      </c>
      <c r="C90" s="156">
        <f t="shared" si="1"/>
        <v>-1802.1987028695021</v>
      </c>
      <c r="D90" s="156">
        <f t="shared" si="2"/>
        <v>10778.524507400687</v>
      </c>
      <c r="E90" s="156">
        <f t="shared" si="3"/>
        <v>-453126.33457968588</v>
      </c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spans="1:26" ht="15" x14ac:dyDescent="0.25">
      <c r="A91" s="159">
        <f t="shared" si="0"/>
        <v>83</v>
      </c>
      <c r="B91" s="156">
        <f t="shared" si="4"/>
        <v>8976.325804531185</v>
      </c>
      <c r="C91" s="156">
        <f t="shared" si="1"/>
        <v>-1846.1122081334036</v>
      </c>
      <c r="D91" s="156">
        <f t="shared" si="2"/>
        <v>10822.438012664588</v>
      </c>
      <c r="E91" s="156">
        <f t="shared" si="3"/>
        <v>-463948.77259235049</v>
      </c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spans="1:26" ht="15" x14ac:dyDescent="0.25">
      <c r="A92" s="159">
        <f t="shared" si="0"/>
        <v>84</v>
      </c>
      <c r="B92" s="156">
        <f t="shared" si="4"/>
        <v>8976.325804531185</v>
      </c>
      <c r="C92" s="156">
        <f t="shared" si="1"/>
        <v>-1890.2046243366681</v>
      </c>
      <c r="D92" s="156">
        <f t="shared" si="2"/>
        <v>10866.530428867853</v>
      </c>
      <c r="E92" s="156">
        <f t="shared" si="3"/>
        <v>-474815.30302121834</v>
      </c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spans="1:26" ht="15" x14ac:dyDescent="0.25">
      <c r="A93" s="159">
        <f t="shared" si="0"/>
        <v>85</v>
      </c>
      <c r="B93" s="156">
        <f t="shared" si="4"/>
        <v>8976.325804531185</v>
      </c>
      <c r="C93" s="156">
        <f t="shared" si="1"/>
        <v>-1934.4766803922805</v>
      </c>
      <c r="D93" s="156">
        <f t="shared" si="2"/>
        <v>10910.802484923466</v>
      </c>
      <c r="E93" s="156">
        <f t="shared" si="3"/>
        <v>-485726.10550614179</v>
      </c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spans="1:26" ht="15" x14ac:dyDescent="0.25">
      <c r="A94" s="159">
        <f t="shared" si="0"/>
        <v>86</v>
      </c>
      <c r="B94" s="156">
        <f t="shared" si="4"/>
        <v>8976.325804531185</v>
      </c>
      <c r="C94" s="156">
        <f t="shared" si="1"/>
        <v>-1978.9291081829394</v>
      </c>
      <c r="D94" s="156">
        <f t="shared" si="2"/>
        <v>10955.254912714125</v>
      </c>
      <c r="E94" s="156">
        <f t="shared" si="3"/>
        <v>-496681.36041885591</v>
      </c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spans="1:26" ht="15" x14ac:dyDescent="0.25">
      <c r="A95" s="159">
        <f t="shared" si="0"/>
        <v>87</v>
      </c>
      <c r="B95" s="156">
        <f t="shared" si="4"/>
        <v>8976.325804531185</v>
      </c>
      <c r="C95" s="156">
        <f t="shared" si="1"/>
        <v>-2023.5626425731555</v>
      </c>
      <c r="D95" s="156">
        <f t="shared" si="2"/>
        <v>10999.88844710434</v>
      </c>
      <c r="E95" s="156">
        <f t="shared" si="3"/>
        <v>-507681.24886596022</v>
      </c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spans="1:26" ht="15" x14ac:dyDescent="0.25">
      <c r="A96" s="159">
        <f t="shared" si="0"/>
        <v>88</v>
      </c>
      <c r="B96" s="156">
        <f t="shared" si="4"/>
        <v>8976.325804531185</v>
      </c>
      <c r="C96" s="156">
        <f t="shared" si="1"/>
        <v>-2068.3780214213998</v>
      </c>
      <c r="D96" s="156">
        <f t="shared" si="2"/>
        <v>11044.703825952585</v>
      </c>
      <c r="E96" s="156">
        <f t="shared" si="3"/>
        <v>-518725.95269191283</v>
      </c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spans="1:26" ht="15" x14ac:dyDescent="0.25">
      <c r="A97" s="159">
        <f t="shared" si="0"/>
        <v>89</v>
      </c>
      <c r="B97" s="156">
        <f t="shared" si="4"/>
        <v>8976.325804531185</v>
      </c>
      <c r="C97" s="156">
        <f t="shared" si="1"/>
        <v>-2113.3759855923017</v>
      </c>
      <c r="D97" s="156">
        <f t="shared" si="2"/>
        <v>11089.701790123487</v>
      </c>
      <c r="E97" s="156">
        <f t="shared" si="3"/>
        <v>-529815.65448203636</v>
      </c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spans="1:26" ht="15" x14ac:dyDescent="0.25">
      <c r="A98" s="159">
        <f t="shared" si="0"/>
        <v>90</v>
      </c>
      <c r="B98" s="156">
        <f t="shared" si="4"/>
        <v>8976.325804531185</v>
      </c>
      <c r="C98" s="156">
        <f t="shared" si="1"/>
        <v>-2158.5572789688968</v>
      </c>
      <c r="D98" s="156">
        <f t="shared" si="2"/>
        <v>11134.883083500081</v>
      </c>
      <c r="E98" s="156">
        <f t="shared" si="3"/>
        <v>-540950.53756553645</v>
      </c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spans="1:26" ht="15" x14ac:dyDescent="0.25">
      <c r="A99" s="159">
        <f t="shared" si="0"/>
        <v>91</v>
      </c>
      <c r="B99" s="156">
        <f t="shared" si="4"/>
        <v>8976.325804531185</v>
      </c>
      <c r="C99" s="156">
        <f t="shared" si="1"/>
        <v>-2203.922648464923</v>
      </c>
      <c r="D99" s="156">
        <f t="shared" si="2"/>
        <v>11180.248452996108</v>
      </c>
      <c r="E99" s="156">
        <f t="shared" si="3"/>
        <v>-552130.78601853258</v>
      </c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spans="1:26" ht="15" x14ac:dyDescent="0.25">
      <c r="A100" s="159">
        <f t="shared" si="0"/>
        <v>92</v>
      </c>
      <c r="B100" s="156">
        <f t="shared" si="4"/>
        <v>8976.325804531185</v>
      </c>
      <c r="C100" s="156">
        <f t="shared" si="1"/>
        <v>-2249.4728440371719</v>
      </c>
      <c r="D100" s="156">
        <f t="shared" si="2"/>
        <v>11225.798648568358</v>
      </c>
      <c r="E100" s="156">
        <f t="shared" si="3"/>
        <v>-563356.58466710092</v>
      </c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spans="1:26" ht="15" x14ac:dyDescent="0.25">
      <c r="A101" s="159">
        <f t="shared" si="0"/>
        <v>93</v>
      </c>
      <c r="B101" s="156">
        <f t="shared" si="4"/>
        <v>8976.325804531185</v>
      </c>
      <c r="C101" s="156">
        <f t="shared" si="1"/>
        <v>-2295.2086186978804</v>
      </c>
      <c r="D101" s="156">
        <f t="shared" si="2"/>
        <v>11271.534423229066</v>
      </c>
      <c r="E101" s="156">
        <f t="shared" si="3"/>
        <v>-574628.11909032997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spans="1:26" ht="15" x14ac:dyDescent="0.25">
      <c r="A102" s="159">
        <f t="shared" si="0"/>
        <v>94</v>
      </c>
      <c r="B102" s="156">
        <f t="shared" si="4"/>
        <v>8976.325804531185</v>
      </c>
      <c r="C102" s="156">
        <f t="shared" si="1"/>
        <v>-2341.130728527186</v>
      </c>
      <c r="D102" s="156">
        <f t="shared" si="2"/>
        <v>11317.456533058372</v>
      </c>
      <c r="E102" s="156">
        <f t="shared" si="3"/>
        <v>-585945.5756233884</v>
      </c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spans="1:26" ht="15" x14ac:dyDescent="0.25">
      <c r="A103" s="159">
        <f t="shared" si="0"/>
        <v>95</v>
      </c>
      <c r="B103" s="156">
        <f t="shared" si="4"/>
        <v>8976.325804531185</v>
      </c>
      <c r="C103" s="156">
        <f t="shared" si="1"/>
        <v>-2387.2399326856216</v>
      </c>
      <c r="D103" s="156">
        <f t="shared" si="2"/>
        <v>11363.565737216806</v>
      </c>
      <c r="E103" s="156">
        <f t="shared" si="3"/>
        <v>-597309.14136060525</v>
      </c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spans="1:26" ht="15" x14ac:dyDescent="0.25">
      <c r="A104" s="159">
        <f t="shared" si="0"/>
        <v>96</v>
      </c>
      <c r="B104" s="156">
        <f t="shared" si="4"/>
        <v>8976.325804531185</v>
      </c>
      <c r="C104" s="156">
        <f t="shared" si="1"/>
        <v>-2433.536993426666</v>
      </c>
      <c r="D104" s="156">
        <f t="shared" si="2"/>
        <v>11409.86279795785</v>
      </c>
      <c r="E104" s="156">
        <f t="shared" si="3"/>
        <v>-608719.0041585631</v>
      </c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spans="1:26" ht="15" x14ac:dyDescent="0.25">
      <c r="A105" s="159">
        <f t="shared" si="0"/>
        <v>97</v>
      </c>
      <c r="B105" s="156">
        <f t="shared" si="4"/>
        <v>8976.325804531185</v>
      </c>
      <c r="C105" s="156">
        <f t="shared" si="1"/>
        <v>-2480.0226761093459</v>
      </c>
      <c r="D105" s="156">
        <f t="shared" si="2"/>
        <v>11456.34848064053</v>
      </c>
      <c r="E105" s="156">
        <f t="shared" si="3"/>
        <v>-620175.35263920366</v>
      </c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spans="1:26" ht="15" x14ac:dyDescent="0.25">
      <c r="A106" s="159">
        <f t="shared" si="0"/>
        <v>98</v>
      </c>
      <c r="B106" s="156">
        <f t="shared" si="4"/>
        <v>8976.325804531185</v>
      </c>
      <c r="C106" s="156">
        <f t="shared" si="1"/>
        <v>-2526.697749210889</v>
      </c>
      <c r="D106" s="156">
        <f t="shared" si="2"/>
        <v>11503.023553742074</v>
      </c>
      <c r="E106" s="156">
        <f t="shared" si="3"/>
        <v>-631678.37619294575</v>
      </c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spans="1:26" ht="15" x14ac:dyDescent="0.25">
      <c r="A107" s="159">
        <f t="shared" si="0"/>
        <v>99</v>
      </c>
      <c r="B107" s="156">
        <f t="shared" si="4"/>
        <v>8976.325804531185</v>
      </c>
      <c r="C107" s="156">
        <f t="shared" si="1"/>
        <v>-2573.5629843394267</v>
      </c>
      <c r="D107" s="156">
        <f t="shared" si="2"/>
        <v>11549.888788870612</v>
      </c>
      <c r="E107" s="156">
        <f t="shared" si="3"/>
        <v>-643228.26498181641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spans="1:26" ht="15" x14ac:dyDescent="0.25">
      <c r="A108" s="159">
        <f t="shared" si="0"/>
        <v>100</v>
      </c>
      <c r="B108" s="156">
        <f t="shared" si="4"/>
        <v>8976.325804531185</v>
      </c>
      <c r="C108" s="156">
        <f t="shared" si="1"/>
        <v>-2620.6191562467507</v>
      </c>
      <c r="D108" s="156">
        <f t="shared" si="2"/>
        <v>11596.944960777935</v>
      </c>
      <c r="E108" s="156">
        <f t="shared" si="3"/>
        <v>-654825.20994259429</v>
      </c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spans="1:26" ht="15" x14ac:dyDescent="0.25">
      <c r="A109" s="159">
        <f t="shared" si="0"/>
        <v>101</v>
      </c>
      <c r="B109" s="156">
        <f t="shared" si="4"/>
        <v>8976.325804531185</v>
      </c>
      <c r="C109" s="156">
        <f t="shared" si="1"/>
        <v>-2667.8670428411197</v>
      </c>
      <c r="D109" s="156">
        <f t="shared" si="2"/>
        <v>11644.192847372306</v>
      </c>
      <c r="E109" s="156">
        <f t="shared" si="3"/>
        <v>-666469.40278996655</v>
      </c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spans="1:26" ht="15" x14ac:dyDescent="0.25">
      <c r="A110" s="159">
        <f t="shared" si="0"/>
        <v>102</v>
      </c>
      <c r="B110" s="156">
        <f t="shared" si="4"/>
        <v>8976.325804531185</v>
      </c>
      <c r="C110" s="156">
        <f t="shared" si="1"/>
        <v>-2715.307425200122</v>
      </c>
      <c r="D110" s="156">
        <f t="shared" si="2"/>
        <v>11691.633229731307</v>
      </c>
      <c r="E110" s="156">
        <f t="shared" si="3"/>
        <v>-678161.0360196979</v>
      </c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spans="1:26" ht="15" x14ac:dyDescent="0.25">
      <c r="A111" s="159">
        <f t="shared" si="0"/>
        <v>103</v>
      </c>
      <c r="B111" s="156">
        <f t="shared" si="4"/>
        <v>8976.325804531185</v>
      </c>
      <c r="C111" s="156">
        <f t="shared" si="1"/>
        <v>-2762.9410875835861</v>
      </c>
      <c r="D111" s="156">
        <f t="shared" si="2"/>
        <v>11739.266892114771</v>
      </c>
      <c r="E111" s="156">
        <f t="shared" si="3"/>
        <v>-689900.30291181267</v>
      </c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spans="1:26" ht="15" x14ac:dyDescent="0.25">
      <c r="A112" s="159">
        <f t="shared" si="0"/>
        <v>104</v>
      </c>
      <c r="B112" s="156">
        <f t="shared" si="4"/>
        <v>8976.325804531185</v>
      </c>
      <c r="C112" s="156">
        <f t="shared" si="1"/>
        <v>-2810.7688174465438</v>
      </c>
      <c r="D112" s="156">
        <f t="shared" si="2"/>
        <v>11787.094621977729</v>
      </c>
      <c r="E112" s="156">
        <f t="shared" si="3"/>
        <v>-701687.39753379044</v>
      </c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spans="1:26" ht="15" x14ac:dyDescent="0.25">
      <c r="A113" s="159">
        <f t="shared" si="0"/>
        <v>105</v>
      </c>
      <c r="B113" s="156">
        <f t="shared" si="4"/>
        <v>8976.325804531185</v>
      </c>
      <c r="C113" s="156">
        <f t="shared" si="1"/>
        <v>-2858.7914054522512</v>
      </c>
      <c r="D113" s="156">
        <f t="shared" si="2"/>
        <v>11835.117209983437</v>
      </c>
      <c r="E113" s="156">
        <f t="shared" si="3"/>
        <v>-713522.51474377385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spans="1:26" ht="15" x14ac:dyDescent="0.25">
      <c r="A114" s="159">
        <f t="shared" si="0"/>
        <v>106</v>
      </c>
      <c r="B114" s="156">
        <f t="shared" si="4"/>
        <v>8976.325804531185</v>
      </c>
      <c r="C114" s="156">
        <f t="shared" si="1"/>
        <v>-2907.0096454852587</v>
      </c>
      <c r="D114" s="156">
        <f t="shared" si="2"/>
        <v>11883.335450016444</v>
      </c>
      <c r="E114" s="156">
        <f t="shared" si="3"/>
        <v>-725405.85019379028</v>
      </c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spans="1:26" ht="15" x14ac:dyDescent="0.25">
      <c r="A115" s="159">
        <f t="shared" si="0"/>
        <v>107</v>
      </c>
      <c r="B115" s="156">
        <f t="shared" si="4"/>
        <v>8976.325804531185</v>
      </c>
      <c r="C115" s="156">
        <f t="shared" si="1"/>
        <v>-2955.4243346645339</v>
      </c>
      <c r="D115" s="156">
        <f t="shared" si="2"/>
        <v>11931.750139195719</v>
      </c>
      <c r="E115" s="156">
        <f t="shared" si="3"/>
        <v>-737337.60033298598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spans="1:26" ht="15" x14ac:dyDescent="0.25">
      <c r="A116" s="159">
        <f t="shared" si="0"/>
        <v>108</v>
      </c>
      <c r="B116" s="156">
        <f t="shared" si="4"/>
        <v>8976.325804531185</v>
      </c>
      <c r="C116" s="156">
        <f t="shared" si="1"/>
        <v>-3004.0362733566408</v>
      </c>
      <c r="D116" s="156">
        <f t="shared" si="2"/>
        <v>11980.362077887825</v>
      </c>
      <c r="E116" s="156">
        <f t="shared" si="3"/>
        <v>-749317.96241087385</v>
      </c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spans="1:26" ht="15" x14ac:dyDescent="0.25">
      <c r="A117" s="159">
        <f t="shared" si="0"/>
        <v>109</v>
      </c>
      <c r="B117" s="156">
        <f t="shared" si="4"/>
        <v>8976.325804531185</v>
      </c>
      <c r="C117" s="156">
        <f t="shared" si="1"/>
        <v>-3052.8462651889686</v>
      </c>
      <c r="D117" s="156">
        <f t="shared" si="2"/>
        <v>12029.172069720153</v>
      </c>
      <c r="E117" s="156">
        <f t="shared" si="3"/>
        <v>-761347.13448059396</v>
      </c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spans="1:26" ht="15" x14ac:dyDescent="0.25">
      <c r="A118" s="159">
        <f t="shared" si="0"/>
        <v>110</v>
      </c>
      <c r="B118" s="156">
        <f t="shared" si="4"/>
        <v>8976.325804531185</v>
      </c>
      <c r="C118" s="156">
        <f t="shared" si="1"/>
        <v>-3101.8551170630199</v>
      </c>
      <c r="D118" s="156">
        <f t="shared" si="2"/>
        <v>12078.180921594205</v>
      </c>
      <c r="E118" s="156">
        <f t="shared" si="3"/>
        <v>-773425.31540218811</v>
      </c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spans="1:26" ht="15" x14ac:dyDescent="0.25">
      <c r="A119" s="159">
        <f t="shared" si="0"/>
        <v>111</v>
      </c>
      <c r="B119" s="156">
        <f t="shared" si="4"/>
        <v>8976.325804531185</v>
      </c>
      <c r="C119" s="156">
        <f t="shared" si="1"/>
        <v>-3151.0636391677481</v>
      </c>
      <c r="D119" s="156">
        <f t="shared" si="2"/>
        <v>12127.389443698932</v>
      </c>
      <c r="E119" s="156">
        <f t="shared" si="3"/>
        <v>-785552.70484588703</v>
      </c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spans="1:26" ht="15" x14ac:dyDescent="0.25">
      <c r="A120" s="159">
        <f t="shared" si="0"/>
        <v>112</v>
      </c>
      <c r="B120" s="156">
        <f t="shared" si="4"/>
        <v>8976.325804531185</v>
      </c>
      <c r="C120" s="156">
        <f t="shared" si="1"/>
        <v>-3200.4726449929517</v>
      </c>
      <c r="D120" s="156">
        <f t="shared" si="2"/>
        <v>12176.798449524136</v>
      </c>
      <c r="E120" s="156">
        <f t="shared" si="3"/>
        <v>-797729.50329541112</v>
      </c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spans="1:26" ht="15" x14ac:dyDescent="0.25">
      <c r="A121" s="159">
        <f t="shared" si="0"/>
        <v>113</v>
      </c>
      <c r="B121" s="156">
        <f t="shared" si="4"/>
        <v>8976.325804531185</v>
      </c>
      <c r="C121" s="156">
        <f t="shared" si="1"/>
        <v>-3250.0829513427211</v>
      </c>
      <c r="D121" s="156">
        <f t="shared" si="2"/>
        <v>12226.408755873907</v>
      </c>
      <c r="E121" s="156">
        <f t="shared" si="3"/>
        <v>-809955.91205128503</v>
      </c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spans="1:26" ht="15" x14ac:dyDescent="0.25">
      <c r="A122" s="159">
        <f t="shared" si="0"/>
        <v>114</v>
      </c>
      <c r="B122" s="156">
        <f t="shared" si="4"/>
        <v>8976.325804531185</v>
      </c>
      <c r="C122" s="156">
        <f t="shared" si="1"/>
        <v>-3299.8953783489442</v>
      </c>
      <c r="D122" s="156">
        <f t="shared" si="2"/>
        <v>12276.22118288013</v>
      </c>
      <c r="E122" s="156">
        <f t="shared" si="3"/>
        <v>-822232.13323416514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spans="1:26" ht="15" x14ac:dyDescent="0.25">
      <c r="A123" s="159">
        <f t="shared" si="0"/>
        <v>115</v>
      </c>
      <c r="B123" s="156">
        <f t="shared" si="4"/>
        <v>8976.325804531185</v>
      </c>
      <c r="C123" s="156">
        <f t="shared" si="1"/>
        <v>-3349.9107494848613</v>
      </c>
      <c r="D123" s="156">
        <f t="shared" si="2"/>
        <v>12326.236554016046</v>
      </c>
      <c r="E123" s="156">
        <f t="shared" si="3"/>
        <v>-834558.36978818115</v>
      </c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spans="1:26" ht="15" x14ac:dyDescent="0.25">
      <c r="A124" s="159">
        <f t="shared" si="0"/>
        <v>116</v>
      </c>
      <c r="B124" s="156">
        <f t="shared" si="4"/>
        <v>8976.325804531185</v>
      </c>
      <c r="C124" s="156">
        <f t="shared" si="1"/>
        <v>-3400.1298915786815</v>
      </c>
      <c r="D124" s="156">
        <f t="shared" si="2"/>
        <v>12376.455696109866</v>
      </c>
      <c r="E124" s="156">
        <f t="shared" si="3"/>
        <v>-846934.82548429107</v>
      </c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spans="1:26" ht="15" x14ac:dyDescent="0.25">
      <c r="A125" s="159">
        <f t="shared" si="0"/>
        <v>117</v>
      </c>
      <c r="B125" s="156">
        <f t="shared" si="4"/>
        <v>8976.325804531185</v>
      </c>
      <c r="C125" s="156">
        <f t="shared" si="1"/>
        <v>-3450.5536348272494</v>
      </c>
      <c r="D125" s="156">
        <f t="shared" si="2"/>
        <v>12426.879439358434</v>
      </c>
      <c r="E125" s="156">
        <f t="shared" si="3"/>
        <v>-859361.70492364955</v>
      </c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spans="1:26" ht="15" x14ac:dyDescent="0.25">
      <c r="A126" s="159">
        <f t="shared" si="0"/>
        <v>118</v>
      </c>
      <c r="B126" s="156">
        <f t="shared" si="4"/>
        <v>8976.325804531185</v>
      </c>
      <c r="C126" s="156">
        <f t="shared" si="1"/>
        <v>-3501.1828128097691</v>
      </c>
      <c r="D126" s="156">
        <f t="shared" si="2"/>
        <v>12477.508617340955</v>
      </c>
      <c r="E126" s="156">
        <f t="shared" si="3"/>
        <v>-871839.21354099049</v>
      </c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spans="1:26" ht="15" x14ac:dyDescent="0.25">
      <c r="A127" s="159">
        <f t="shared" si="0"/>
        <v>119</v>
      </c>
      <c r="B127" s="156">
        <f t="shared" si="4"/>
        <v>8976.325804531185</v>
      </c>
      <c r="C127" s="156">
        <f t="shared" si="1"/>
        <v>-3552.0182625015855</v>
      </c>
      <c r="D127" s="156">
        <f t="shared" si="2"/>
        <v>12528.344067032771</v>
      </c>
      <c r="E127" s="156">
        <f t="shared" si="3"/>
        <v>-884367.55760802329</v>
      </c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spans="1:26" ht="15" x14ac:dyDescent="0.25">
      <c r="A128" s="159">
        <f t="shared" si="0"/>
        <v>120</v>
      </c>
      <c r="B128" s="156">
        <f t="shared" si="4"/>
        <v>8976.325804531185</v>
      </c>
      <c r="C128" s="156">
        <f t="shared" si="1"/>
        <v>-3603.0608242880216</v>
      </c>
      <c r="D128" s="156">
        <f t="shared" si="2"/>
        <v>12579.386628819208</v>
      </c>
      <c r="E128" s="156">
        <f t="shared" si="3"/>
        <v>-896946.94423684245</v>
      </c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spans="1:26" ht="15" x14ac:dyDescent="0.25">
      <c r="A129" s="159"/>
      <c r="B129" s="156"/>
      <c r="C129" s="156"/>
      <c r="D129" s="156"/>
      <c r="E129" s="156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spans="1:26" ht="15" x14ac:dyDescent="0.25">
      <c r="A130" s="159"/>
      <c r="B130" s="156"/>
      <c r="C130" s="156"/>
      <c r="D130" s="156"/>
      <c r="E130" s="156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spans="1:26" ht="15" x14ac:dyDescent="0.25">
      <c r="A131" s="159"/>
      <c r="B131" s="156"/>
      <c r="C131" s="156"/>
      <c r="D131" s="156"/>
      <c r="E131" s="156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spans="1:26" ht="15" x14ac:dyDescent="0.25">
      <c r="A132" s="159"/>
      <c r="B132" s="156"/>
      <c r="C132" s="156"/>
      <c r="D132" s="156"/>
      <c r="E132" s="156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spans="1:26" ht="15" x14ac:dyDescent="0.25">
      <c r="A133" s="159"/>
      <c r="B133" s="156"/>
      <c r="C133" s="156"/>
      <c r="D133" s="156"/>
      <c r="E133" s="156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spans="1:26" ht="15" x14ac:dyDescent="0.25">
      <c r="A134" s="159"/>
      <c r="B134" s="156"/>
      <c r="C134" s="156"/>
      <c r="D134" s="156"/>
      <c r="E134" s="156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spans="1:26" ht="15" x14ac:dyDescent="0.25">
      <c r="A135" s="159"/>
      <c r="B135" s="156"/>
      <c r="C135" s="156"/>
      <c r="D135" s="156"/>
      <c r="E135" s="156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spans="1:26" ht="15" x14ac:dyDescent="0.25">
      <c r="A136" s="159"/>
      <c r="B136" s="156"/>
      <c r="C136" s="156"/>
      <c r="D136" s="156"/>
      <c r="E136" s="156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spans="1:26" ht="15" x14ac:dyDescent="0.25">
      <c r="A137" s="143"/>
      <c r="B137" s="159"/>
      <c r="C137" s="156"/>
      <c r="D137" s="156"/>
      <c r="E137" s="156"/>
      <c r="F137" s="156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spans="1:26" ht="15" x14ac:dyDescent="0.25">
      <c r="A138" s="143"/>
      <c r="B138" s="159"/>
      <c r="C138" s="156"/>
      <c r="D138" s="156"/>
      <c r="E138" s="156"/>
      <c r="F138" s="156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spans="1:26" ht="15" x14ac:dyDescent="0.25">
      <c r="A139" s="143"/>
      <c r="B139" s="159"/>
      <c r="C139" s="156"/>
      <c r="D139" s="156"/>
      <c r="E139" s="156"/>
      <c r="F139" s="156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spans="1:26" ht="15" x14ac:dyDescent="0.25">
      <c r="A140" s="143"/>
      <c r="B140" s="159"/>
      <c r="C140" s="156"/>
      <c r="D140" s="156"/>
      <c r="E140" s="156"/>
      <c r="F140" s="156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spans="1:26" ht="15" x14ac:dyDescent="0.25">
      <c r="A141" s="143"/>
      <c r="B141" s="159"/>
      <c r="C141" s="156"/>
      <c r="D141" s="156"/>
      <c r="E141" s="156"/>
      <c r="F141" s="156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spans="1:26" ht="15" x14ac:dyDescent="0.25">
      <c r="A142" s="143"/>
      <c r="B142" s="159"/>
      <c r="C142" s="156"/>
      <c r="D142" s="156"/>
      <c r="E142" s="156"/>
      <c r="F142" s="156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spans="1:26" ht="15" x14ac:dyDescent="0.25">
      <c r="A143" s="143"/>
      <c r="B143" s="159"/>
      <c r="C143" s="156"/>
      <c r="D143" s="156"/>
      <c r="E143" s="156"/>
      <c r="F143" s="156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spans="1:26" ht="15" x14ac:dyDescent="0.25">
      <c r="A144" s="143"/>
      <c r="B144" s="159"/>
      <c r="C144" s="156"/>
      <c r="D144" s="156"/>
      <c r="E144" s="156"/>
      <c r="F144" s="156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spans="1:26" ht="15" x14ac:dyDescent="0.25">
      <c r="A145" s="143"/>
      <c r="B145" s="159"/>
      <c r="C145" s="156"/>
      <c r="D145" s="156"/>
      <c r="E145" s="156"/>
      <c r="F145" s="156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spans="1:26" ht="15" x14ac:dyDescent="0.25">
      <c r="A146" s="143"/>
      <c r="B146" s="159"/>
      <c r="C146" s="156"/>
      <c r="D146" s="156"/>
      <c r="E146" s="156"/>
      <c r="F146" s="156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spans="1:26" ht="15" x14ac:dyDescent="0.25">
      <c r="A147" s="143"/>
      <c r="B147" s="159"/>
      <c r="C147" s="156"/>
      <c r="D147" s="156"/>
      <c r="E147" s="156"/>
      <c r="F147" s="156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spans="1:26" ht="15" x14ac:dyDescent="0.25">
      <c r="A148" s="143"/>
      <c r="B148" s="159"/>
      <c r="C148" s="156"/>
      <c r="D148" s="156"/>
      <c r="E148" s="156"/>
      <c r="F148" s="156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spans="1:26" ht="15" x14ac:dyDescent="0.25">
      <c r="A149" s="143"/>
      <c r="B149" s="159"/>
      <c r="C149" s="156"/>
      <c r="D149" s="156"/>
      <c r="E149" s="156"/>
      <c r="F149" s="156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spans="1:26" ht="15" x14ac:dyDescent="0.25">
      <c r="A150" s="143"/>
      <c r="B150" s="159"/>
      <c r="C150" s="156"/>
      <c r="D150" s="156"/>
      <c r="E150" s="156"/>
      <c r="F150" s="156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spans="1:26" ht="15" x14ac:dyDescent="0.25">
      <c r="A151" s="143"/>
      <c r="B151" s="159"/>
      <c r="C151" s="156"/>
      <c r="D151" s="156"/>
      <c r="E151" s="156"/>
      <c r="F151" s="156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spans="1:26" ht="15" x14ac:dyDescent="0.25">
      <c r="A152" s="143"/>
      <c r="B152" s="159"/>
      <c r="C152" s="156"/>
      <c r="D152" s="156"/>
      <c r="E152" s="156"/>
      <c r="F152" s="156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spans="1:26" ht="15" x14ac:dyDescent="0.25">
      <c r="A153" s="143"/>
      <c r="B153" s="159"/>
      <c r="C153" s="156"/>
      <c r="D153" s="156"/>
      <c r="E153" s="156"/>
      <c r="F153" s="156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spans="1:26" ht="15" x14ac:dyDescent="0.25">
      <c r="A154" s="143"/>
      <c r="B154" s="159"/>
      <c r="C154" s="156"/>
      <c r="D154" s="156"/>
      <c r="E154" s="156"/>
      <c r="F154" s="156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spans="1:26" ht="15" x14ac:dyDescent="0.25">
      <c r="A155" s="143"/>
      <c r="B155" s="159"/>
      <c r="C155" s="156"/>
      <c r="D155" s="156"/>
      <c r="E155" s="156"/>
      <c r="F155" s="156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spans="1:26" ht="15" x14ac:dyDescent="0.25">
      <c r="A156" s="143"/>
      <c r="B156" s="159"/>
      <c r="C156" s="156"/>
      <c r="D156" s="156"/>
      <c r="E156" s="156"/>
      <c r="F156" s="156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spans="1:26" ht="15" x14ac:dyDescent="0.25">
      <c r="A157" s="143"/>
      <c r="B157" s="159"/>
      <c r="C157" s="156"/>
      <c r="D157" s="156"/>
      <c r="E157" s="156"/>
      <c r="F157" s="156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spans="1:26" ht="15" x14ac:dyDescent="0.25">
      <c r="A158" s="143"/>
      <c r="B158" s="159"/>
      <c r="C158" s="156"/>
      <c r="D158" s="156"/>
      <c r="E158" s="156"/>
      <c r="F158" s="156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spans="1:26" ht="15" x14ac:dyDescent="0.25">
      <c r="A159" s="143"/>
      <c r="B159" s="159"/>
      <c r="C159" s="156"/>
      <c r="D159" s="156"/>
      <c r="E159" s="156"/>
      <c r="F159" s="156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spans="1:26" ht="15" x14ac:dyDescent="0.25">
      <c r="A160" s="143"/>
      <c r="B160" s="159"/>
      <c r="C160" s="156"/>
      <c r="D160" s="156"/>
      <c r="E160" s="156"/>
      <c r="F160" s="156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spans="1:26" ht="15" x14ac:dyDescent="0.25">
      <c r="A161" s="143"/>
      <c r="B161" s="159"/>
      <c r="C161" s="156"/>
      <c r="D161" s="156"/>
      <c r="E161" s="156"/>
      <c r="F161" s="156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spans="1:26" ht="15" x14ac:dyDescent="0.25">
      <c r="A162" s="143"/>
      <c r="B162" s="159"/>
      <c r="C162" s="156"/>
      <c r="D162" s="156"/>
      <c r="E162" s="156"/>
      <c r="F162" s="156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spans="1:26" ht="15" x14ac:dyDescent="0.25">
      <c r="A163" s="143"/>
      <c r="B163" s="159"/>
      <c r="C163" s="156"/>
      <c r="D163" s="156"/>
      <c r="E163" s="156"/>
      <c r="F163" s="156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spans="1:26" ht="15" x14ac:dyDescent="0.25">
      <c r="A164" s="143"/>
      <c r="B164" s="159"/>
      <c r="C164" s="156"/>
      <c r="D164" s="156"/>
      <c r="E164" s="156"/>
      <c r="F164" s="156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spans="1:26" ht="15" x14ac:dyDescent="0.25">
      <c r="A165" s="143"/>
      <c r="B165" s="159"/>
      <c r="C165" s="156"/>
      <c r="D165" s="156"/>
      <c r="E165" s="156"/>
      <c r="F165" s="156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spans="1:26" ht="15" x14ac:dyDescent="0.25">
      <c r="A166" s="143"/>
      <c r="B166" s="159"/>
      <c r="C166" s="156"/>
      <c r="D166" s="156"/>
      <c r="E166" s="156"/>
      <c r="F166" s="156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spans="1:26" ht="15" x14ac:dyDescent="0.25">
      <c r="A167" s="143"/>
      <c r="B167" s="159"/>
      <c r="C167" s="156"/>
      <c r="D167" s="156"/>
      <c r="E167" s="156"/>
      <c r="F167" s="156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spans="1:26" ht="15" x14ac:dyDescent="0.25">
      <c r="A168" s="143"/>
      <c r="B168" s="159"/>
      <c r="C168" s="156"/>
      <c r="D168" s="156"/>
      <c r="E168" s="156"/>
      <c r="F168" s="156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spans="1:26" ht="15" x14ac:dyDescent="0.25">
      <c r="A169" s="143"/>
      <c r="B169" s="159"/>
      <c r="C169" s="156"/>
      <c r="D169" s="156"/>
      <c r="E169" s="156"/>
      <c r="F169" s="156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spans="1:26" ht="15" x14ac:dyDescent="0.25">
      <c r="A170" s="143"/>
      <c r="B170" s="159"/>
      <c r="C170" s="156"/>
      <c r="D170" s="156"/>
      <c r="E170" s="156"/>
      <c r="F170" s="156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spans="1:26" ht="15" x14ac:dyDescent="0.25">
      <c r="A171" s="143"/>
      <c r="B171" s="159"/>
      <c r="C171" s="156"/>
      <c r="D171" s="156"/>
      <c r="E171" s="156"/>
      <c r="F171" s="156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spans="1:26" ht="15" x14ac:dyDescent="0.25">
      <c r="A172" s="143"/>
      <c r="B172" s="159"/>
      <c r="C172" s="156"/>
      <c r="D172" s="156"/>
      <c r="E172" s="156"/>
      <c r="F172" s="156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spans="1:26" ht="15" x14ac:dyDescent="0.25">
      <c r="A173" s="143"/>
      <c r="B173" s="159"/>
      <c r="C173" s="156"/>
      <c r="D173" s="156"/>
      <c r="E173" s="156"/>
      <c r="F173" s="156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spans="1:26" ht="15" x14ac:dyDescent="0.25">
      <c r="A174" s="143"/>
      <c r="B174" s="159"/>
      <c r="C174" s="156"/>
      <c r="D174" s="156"/>
      <c r="E174" s="156"/>
      <c r="F174" s="156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spans="1:26" ht="15" x14ac:dyDescent="0.25">
      <c r="A175" s="143"/>
      <c r="B175" s="159"/>
      <c r="C175" s="156"/>
      <c r="D175" s="156"/>
      <c r="E175" s="156"/>
      <c r="F175" s="156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spans="1:26" ht="15" x14ac:dyDescent="0.25">
      <c r="A176" s="143"/>
      <c r="B176" s="159"/>
      <c r="C176" s="156"/>
      <c r="D176" s="156"/>
      <c r="E176" s="156"/>
      <c r="F176" s="156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spans="1:26" ht="15" x14ac:dyDescent="0.25">
      <c r="A177" s="143"/>
      <c r="B177" s="159"/>
      <c r="C177" s="156"/>
      <c r="D177" s="156"/>
      <c r="E177" s="156"/>
      <c r="F177" s="156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spans="1:26" ht="15" x14ac:dyDescent="0.25">
      <c r="A178" s="143"/>
      <c r="B178" s="159"/>
      <c r="C178" s="156"/>
      <c r="D178" s="156"/>
      <c r="E178" s="156"/>
      <c r="F178" s="156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spans="1:26" ht="15" x14ac:dyDescent="0.25">
      <c r="A179" s="143"/>
      <c r="B179" s="159"/>
      <c r="C179" s="156"/>
      <c r="D179" s="156"/>
      <c r="E179" s="156"/>
      <c r="F179" s="156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spans="1:26" ht="15" x14ac:dyDescent="0.25">
      <c r="A180" s="143"/>
      <c r="B180" s="159"/>
      <c r="C180" s="156"/>
      <c r="D180" s="156"/>
      <c r="E180" s="156"/>
      <c r="F180" s="156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spans="1:26" ht="15" x14ac:dyDescent="0.25">
      <c r="A181" s="143"/>
      <c r="B181" s="159"/>
      <c r="C181" s="156"/>
      <c r="D181" s="156"/>
      <c r="E181" s="156"/>
      <c r="F181" s="156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spans="1:26" ht="15" x14ac:dyDescent="0.25">
      <c r="A182" s="143"/>
      <c r="B182" s="159"/>
      <c r="C182" s="156"/>
      <c r="D182" s="156"/>
      <c r="E182" s="156"/>
      <c r="F182" s="156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spans="1:26" ht="15" x14ac:dyDescent="0.25">
      <c r="A183" s="143"/>
      <c r="B183" s="159"/>
      <c r="C183" s="156"/>
      <c r="D183" s="156"/>
      <c r="E183" s="156"/>
      <c r="F183" s="156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spans="1:26" ht="15" x14ac:dyDescent="0.25">
      <c r="A184" s="143"/>
      <c r="B184" s="159"/>
      <c r="C184" s="156"/>
      <c r="D184" s="156"/>
      <c r="E184" s="156"/>
      <c r="F184" s="156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spans="1:26" ht="15" x14ac:dyDescent="0.25">
      <c r="A185" s="143"/>
      <c r="B185" s="159"/>
      <c r="C185" s="156"/>
      <c r="D185" s="156"/>
      <c r="E185" s="156"/>
      <c r="F185" s="156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spans="1:26" ht="15" x14ac:dyDescent="0.25">
      <c r="A186" s="143"/>
      <c r="B186" s="159"/>
      <c r="C186" s="156"/>
      <c r="D186" s="156"/>
      <c r="E186" s="156"/>
      <c r="F186" s="156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spans="1:26" ht="15" x14ac:dyDescent="0.25">
      <c r="A187" s="143"/>
      <c r="B187" s="159"/>
      <c r="C187" s="156"/>
      <c r="D187" s="156"/>
      <c r="E187" s="156"/>
      <c r="F187" s="156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spans="1:26" ht="15" x14ac:dyDescent="0.25">
      <c r="A188" s="143"/>
      <c r="B188" s="159"/>
      <c r="C188" s="156"/>
      <c r="D188" s="156"/>
      <c r="E188" s="156"/>
      <c r="F188" s="156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spans="1:26" ht="15" x14ac:dyDescent="0.25">
      <c r="A189" s="143"/>
      <c r="B189" s="159"/>
      <c r="C189" s="156"/>
      <c r="D189" s="156"/>
      <c r="E189" s="156"/>
      <c r="F189" s="156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spans="1:26" ht="15" x14ac:dyDescent="0.25">
      <c r="A190" s="143"/>
      <c r="B190" s="159"/>
      <c r="C190" s="156"/>
      <c r="D190" s="156"/>
      <c r="E190" s="156"/>
      <c r="F190" s="156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spans="1:26" ht="15" x14ac:dyDescent="0.25">
      <c r="A191" s="143"/>
      <c r="B191" s="159"/>
      <c r="C191" s="156"/>
      <c r="D191" s="156"/>
      <c r="E191" s="156"/>
      <c r="F191" s="156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spans="1:26" ht="15" x14ac:dyDescent="0.25">
      <c r="A192" s="143"/>
      <c r="B192" s="159"/>
      <c r="C192" s="156"/>
      <c r="D192" s="156"/>
      <c r="E192" s="156"/>
      <c r="F192" s="156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spans="1:26" ht="15" x14ac:dyDescent="0.25">
      <c r="A193" s="143"/>
      <c r="B193" s="159"/>
      <c r="C193" s="156"/>
      <c r="D193" s="156"/>
      <c r="E193" s="156"/>
      <c r="F193" s="156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spans="1:26" ht="15" x14ac:dyDescent="0.25">
      <c r="A194" s="143"/>
      <c r="B194" s="159"/>
      <c r="C194" s="156"/>
      <c r="D194" s="156"/>
      <c r="E194" s="156"/>
      <c r="F194" s="156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spans="1:26" ht="15" x14ac:dyDescent="0.25">
      <c r="A195" s="143"/>
      <c r="B195" s="159"/>
      <c r="C195" s="156"/>
      <c r="D195" s="156"/>
      <c r="E195" s="156"/>
      <c r="F195" s="156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spans="1:26" ht="15" x14ac:dyDescent="0.25">
      <c r="A196" s="143"/>
      <c r="B196" s="159"/>
      <c r="C196" s="156"/>
      <c r="D196" s="156"/>
      <c r="E196" s="156"/>
      <c r="F196" s="156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spans="1:26" ht="15" x14ac:dyDescent="0.25">
      <c r="A197" s="143"/>
      <c r="B197" s="159"/>
      <c r="C197" s="156"/>
      <c r="D197" s="156"/>
      <c r="E197" s="156"/>
      <c r="F197" s="156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spans="1:26" ht="15" x14ac:dyDescent="0.25">
      <c r="A198" s="143"/>
      <c r="B198" s="159"/>
      <c r="C198" s="156"/>
      <c r="D198" s="156"/>
      <c r="E198" s="156"/>
      <c r="F198" s="156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spans="1:26" ht="15" x14ac:dyDescent="0.25">
      <c r="A199" s="143"/>
      <c r="B199" s="159"/>
      <c r="C199" s="156"/>
      <c r="D199" s="156"/>
      <c r="E199" s="156"/>
      <c r="F199" s="156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spans="1:26" ht="15" x14ac:dyDescent="0.25">
      <c r="A200" s="143"/>
      <c r="B200" s="159"/>
      <c r="C200" s="156"/>
      <c r="D200" s="156"/>
      <c r="E200" s="156"/>
      <c r="F200" s="156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spans="1:26" ht="15" x14ac:dyDescent="0.25">
      <c r="A201" s="143"/>
      <c r="B201" s="159"/>
      <c r="C201" s="156"/>
      <c r="D201" s="156"/>
      <c r="E201" s="156"/>
      <c r="F201" s="156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spans="1:26" ht="15" x14ac:dyDescent="0.25">
      <c r="A202" s="143"/>
      <c r="B202" s="159"/>
      <c r="C202" s="156"/>
      <c r="D202" s="156"/>
      <c r="E202" s="156"/>
      <c r="F202" s="156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spans="1:26" ht="15" x14ac:dyDescent="0.25">
      <c r="A203" s="143"/>
      <c r="B203" s="159"/>
      <c r="C203" s="156"/>
      <c r="D203" s="156"/>
      <c r="E203" s="156"/>
      <c r="F203" s="156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spans="1:26" ht="15" x14ac:dyDescent="0.25">
      <c r="A204" s="143"/>
      <c r="B204" s="159"/>
      <c r="C204" s="156"/>
      <c r="D204" s="156"/>
      <c r="E204" s="156"/>
      <c r="F204" s="156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spans="1:26" ht="15" x14ac:dyDescent="0.25">
      <c r="A205" s="143"/>
      <c r="B205" s="159"/>
      <c r="C205" s="156"/>
      <c r="D205" s="156"/>
      <c r="E205" s="156"/>
      <c r="F205" s="156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spans="1:26" ht="15" x14ac:dyDescent="0.25">
      <c r="A206" s="143"/>
      <c r="B206" s="159"/>
      <c r="C206" s="156"/>
      <c r="D206" s="156"/>
      <c r="E206" s="156"/>
      <c r="F206" s="156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spans="1:26" ht="15" x14ac:dyDescent="0.25">
      <c r="A207" s="143"/>
      <c r="B207" s="159"/>
      <c r="C207" s="156"/>
      <c r="D207" s="156"/>
      <c r="E207" s="156"/>
      <c r="F207" s="156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spans="1:26" ht="15" x14ac:dyDescent="0.25">
      <c r="A208" s="143"/>
      <c r="B208" s="159"/>
      <c r="C208" s="156"/>
      <c r="D208" s="156"/>
      <c r="E208" s="156"/>
      <c r="F208" s="156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spans="1:26" ht="15" x14ac:dyDescent="0.25">
      <c r="A209" s="143"/>
      <c r="B209" s="159"/>
      <c r="C209" s="156"/>
      <c r="D209" s="156"/>
      <c r="E209" s="156"/>
      <c r="F209" s="156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spans="1:26" ht="15" x14ac:dyDescent="0.25">
      <c r="A210" s="143"/>
      <c r="B210" s="159"/>
      <c r="C210" s="156"/>
      <c r="D210" s="156"/>
      <c r="E210" s="156"/>
      <c r="F210" s="156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spans="1:26" ht="15" x14ac:dyDescent="0.25">
      <c r="A211" s="143"/>
      <c r="B211" s="159"/>
      <c r="C211" s="156"/>
      <c r="D211" s="156"/>
      <c r="E211" s="156"/>
      <c r="F211" s="156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spans="1:26" ht="15" x14ac:dyDescent="0.25">
      <c r="A212" s="143"/>
      <c r="B212" s="159"/>
      <c r="C212" s="156"/>
      <c r="D212" s="156"/>
      <c r="E212" s="156"/>
      <c r="F212" s="156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spans="1:26" ht="15" x14ac:dyDescent="0.25">
      <c r="A213" s="143"/>
      <c r="B213" s="159"/>
      <c r="C213" s="156"/>
      <c r="D213" s="156"/>
      <c r="E213" s="156"/>
      <c r="F213" s="156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spans="1:26" ht="15" x14ac:dyDescent="0.25">
      <c r="A214" s="143"/>
      <c r="B214" s="159"/>
      <c r="C214" s="156"/>
      <c r="D214" s="156"/>
      <c r="E214" s="156"/>
      <c r="F214" s="156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spans="1:26" ht="15" x14ac:dyDescent="0.25">
      <c r="A215" s="143"/>
      <c r="B215" s="159"/>
      <c r="C215" s="156"/>
      <c r="D215" s="156"/>
      <c r="E215" s="156"/>
      <c r="F215" s="156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spans="1:26" ht="15" x14ac:dyDescent="0.25">
      <c r="A216" s="143"/>
      <c r="B216" s="159"/>
      <c r="C216" s="156"/>
      <c r="D216" s="156"/>
      <c r="E216" s="156"/>
      <c r="F216" s="156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spans="1:26" ht="15" x14ac:dyDescent="0.25">
      <c r="A217" s="143"/>
      <c r="B217" s="159"/>
      <c r="C217" s="156"/>
      <c r="D217" s="156"/>
      <c r="E217" s="156"/>
      <c r="F217" s="156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spans="1:26" ht="15" x14ac:dyDescent="0.25">
      <c r="A218" s="143"/>
      <c r="B218" s="159"/>
      <c r="C218" s="156"/>
      <c r="D218" s="156"/>
      <c r="E218" s="156"/>
      <c r="F218" s="156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spans="1:26" ht="15" x14ac:dyDescent="0.25">
      <c r="A219" s="143"/>
      <c r="B219" s="159"/>
      <c r="C219" s="156"/>
      <c r="D219" s="156"/>
      <c r="E219" s="156"/>
      <c r="F219" s="156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spans="1:26" ht="15" x14ac:dyDescent="0.25">
      <c r="A220" s="143"/>
      <c r="B220" s="159"/>
      <c r="C220" s="156"/>
      <c r="D220" s="156"/>
      <c r="E220" s="156"/>
      <c r="F220" s="156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spans="1:26" ht="15" x14ac:dyDescent="0.25">
      <c r="A221" s="143"/>
      <c r="B221" s="159"/>
      <c r="C221" s="156"/>
      <c r="D221" s="156"/>
      <c r="E221" s="156"/>
      <c r="F221" s="156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spans="1:26" ht="15" x14ac:dyDescent="0.25">
      <c r="A222" s="143"/>
      <c r="B222" s="159"/>
      <c r="C222" s="156"/>
      <c r="D222" s="156"/>
      <c r="E222" s="156"/>
      <c r="F222" s="156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spans="1:26" ht="15" x14ac:dyDescent="0.25">
      <c r="A223" s="143"/>
      <c r="B223" s="159"/>
      <c r="C223" s="156"/>
      <c r="D223" s="156"/>
      <c r="E223" s="156"/>
      <c r="F223" s="156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spans="1:26" ht="15" x14ac:dyDescent="0.25">
      <c r="A224" s="143"/>
      <c r="B224" s="159"/>
      <c r="C224" s="156"/>
      <c r="D224" s="156"/>
      <c r="E224" s="156"/>
      <c r="F224" s="156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spans="1:26" ht="15" x14ac:dyDescent="0.25">
      <c r="A225" s="143"/>
      <c r="B225" s="159"/>
      <c r="C225" s="156"/>
      <c r="D225" s="156"/>
      <c r="E225" s="156"/>
      <c r="F225" s="156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spans="1:26" ht="15" x14ac:dyDescent="0.25">
      <c r="A226" s="143"/>
      <c r="B226" s="159"/>
      <c r="C226" s="156"/>
      <c r="D226" s="156"/>
      <c r="E226" s="156"/>
      <c r="F226" s="156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spans="1:26" ht="15" x14ac:dyDescent="0.25">
      <c r="A227" s="143"/>
      <c r="B227" s="159"/>
      <c r="C227" s="156"/>
      <c r="D227" s="156"/>
      <c r="E227" s="156"/>
      <c r="F227" s="156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spans="1:26" ht="15" x14ac:dyDescent="0.25">
      <c r="A228" s="143"/>
      <c r="B228" s="159"/>
      <c r="C228" s="156"/>
      <c r="D228" s="156"/>
      <c r="E228" s="156"/>
      <c r="F228" s="156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spans="1:26" ht="15" x14ac:dyDescent="0.25">
      <c r="A229" s="143"/>
      <c r="B229" s="159"/>
      <c r="C229" s="156"/>
      <c r="D229" s="156"/>
      <c r="E229" s="156"/>
      <c r="F229" s="156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spans="1:26" ht="15" x14ac:dyDescent="0.25">
      <c r="A230" s="143"/>
      <c r="B230" s="159"/>
      <c r="C230" s="156"/>
      <c r="D230" s="156"/>
      <c r="E230" s="156"/>
      <c r="F230" s="156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spans="1:26" ht="15" x14ac:dyDescent="0.25">
      <c r="A231" s="143"/>
      <c r="B231" s="159"/>
      <c r="C231" s="156"/>
      <c r="D231" s="156"/>
      <c r="E231" s="156"/>
      <c r="F231" s="156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spans="1:26" ht="15" x14ac:dyDescent="0.25">
      <c r="A232" s="143"/>
      <c r="B232" s="159"/>
      <c r="C232" s="156"/>
      <c r="D232" s="156"/>
      <c r="E232" s="156"/>
      <c r="F232" s="156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spans="1:26" ht="15" x14ac:dyDescent="0.25">
      <c r="A233" s="143"/>
      <c r="B233" s="159"/>
      <c r="C233" s="156"/>
      <c r="D233" s="156"/>
      <c r="E233" s="156"/>
      <c r="F233" s="156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spans="1:26" ht="15" x14ac:dyDescent="0.25">
      <c r="A234" s="143"/>
      <c r="B234" s="159"/>
      <c r="C234" s="156"/>
      <c r="D234" s="156"/>
      <c r="E234" s="156"/>
      <c r="F234" s="156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spans="1:26" ht="15" x14ac:dyDescent="0.25">
      <c r="A235" s="143"/>
      <c r="B235" s="159"/>
      <c r="C235" s="156"/>
      <c r="D235" s="156"/>
      <c r="E235" s="156"/>
      <c r="F235" s="156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spans="1:26" ht="15" x14ac:dyDescent="0.25">
      <c r="A236" s="143"/>
      <c r="B236" s="159"/>
      <c r="C236" s="156"/>
      <c r="D236" s="156"/>
      <c r="E236" s="156"/>
      <c r="F236" s="156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spans="1:26" ht="15" x14ac:dyDescent="0.25">
      <c r="A237" s="143"/>
      <c r="B237" s="159"/>
      <c r="C237" s="156"/>
      <c r="D237" s="156"/>
      <c r="E237" s="156"/>
      <c r="F237" s="156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spans="1:26" ht="15" x14ac:dyDescent="0.25">
      <c r="A238" s="143"/>
      <c r="B238" s="159"/>
      <c r="C238" s="156"/>
      <c r="D238" s="156"/>
      <c r="E238" s="156"/>
      <c r="F238" s="156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spans="1:26" ht="15" x14ac:dyDescent="0.25">
      <c r="A239" s="143"/>
      <c r="B239" s="159"/>
      <c r="C239" s="156"/>
      <c r="D239" s="156"/>
      <c r="E239" s="156"/>
      <c r="F239" s="156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spans="1:26" ht="15" x14ac:dyDescent="0.25">
      <c r="A240" s="143"/>
      <c r="B240" s="159"/>
      <c r="C240" s="156"/>
      <c r="D240" s="156"/>
      <c r="E240" s="156"/>
      <c r="F240" s="156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spans="1:26" ht="15" x14ac:dyDescent="0.25">
      <c r="A241" s="143"/>
      <c r="B241" s="159"/>
      <c r="C241" s="156"/>
      <c r="D241" s="156"/>
      <c r="E241" s="156"/>
      <c r="F241" s="156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spans="1:26" ht="15" x14ac:dyDescent="0.25">
      <c r="A242" s="143"/>
      <c r="B242" s="159"/>
      <c r="C242" s="156"/>
      <c r="D242" s="156"/>
      <c r="E242" s="156"/>
      <c r="F242" s="156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spans="1:26" ht="15" x14ac:dyDescent="0.25">
      <c r="A243" s="143"/>
      <c r="B243" s="159"/>
      <c r="C243" s="156"/>
      <c r="D243" s="156"/>
      <c r="E243" s="156"/>
      <c r="F243" s="156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spans="1:26" ht="15" x14ac:dyDescent="0.25">
      <c r="A244" s="143"/>
      <c r="B244" s="159"/>
      <c r="C244" s="156"/>
      <c r="D244" s="156"/>
      <c r="E244" s="156"/>
      <c r="F244" s="156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spans="1:26" ht="15" x14ac:dyDescent="0.25">
      <c r="A245" s="143"/>
      <c r="B245" s="159"/>
      <c r="C245" s="156"/>
      <c r="D245" s="156"/>
      <c r="E245" s="156"/>
      <c r="F245" s="156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spans="1:26" ht="15" x14ac:dyDescent="0.25">
      <c r="A246" s="143"/>
      <c r="B246" s="159"/>
      <c r="C246" s="156"/>
      <c r="D246" s="156"/>
      <c r="E246" s="156"/>
      <c r="F246" s="156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spans="1:26" ht="15" x14ac:dyDescent="0.25">
      <c r="A247" s="143"/>
      <c r="B247" s="159"/>
      <c r="C247" s="156"/>
      <c r="D247" s="156"/>
      <c r="E247" s="156"/>
      <c r="F247" s="156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spans="1:26" ht="15" x14ac:dyDescent="0.25">
      <c r="A248" s="143"/>
      <c r="B248" s="159"/>
      <c r="C248" s="156"/>
      <c r="D248" s="156"/>
      <c r="E248" s="156"/>
      <c r="F248" s="156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spans="1:26" ht="15" x14ac:dyDescent="0.25">
      <c r="A249" s="143"/>
      <c r="B249" s="159"/>
      <c r="C249" s="156"/>
      <c r="D249" s="156"/>
      <c r="E249" s="156"/>
      <c r="F249" s="156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spans="1:26" ht="15" x14ac:dyDescent="0.25">
      <c r="A250" s="143"/>
      <c r="B250" s="159"/>
      <c r="C250" s="156"/>
      <c r="D250" s="156"/>
      <c r="E250" s="156"/>
      <c r="F250" s="156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spans="1:26" ht="15" x14ac:dyDescent="0.25">
      <c r="A251" s="143"/>
      <c r="B251" s="159"/>
      <c r="C251" s="156"/>
      <c r="D251" s="156"/>
      <c r="E251" s="156"/>
      <c r="F251" s="156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spans="1:26" ht="15" x14ac:dyDescent="0.25">
      <c r="A252" s="143"/>
      <c r="B252" s="159"/>
      <c r="C252" s="156"/>
      <c r="D252" s="156"/>
      <c r="E252" s="156"/>
      <c r="F252" s="156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spans="1:26" ht="15" x14ac:dyDescent="0.25">
      <c r="A253" s="143"/>
      <c r="B253" s="159"/>
      <c r="C253" s="156"/>
      <c r="D253" s="156"/>
      <c r="E253" s="156"/>
      <c r="F253" s="156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spans="1:26" ht="15" x14ac:dyDescent="0.25">
      <c r="A254" s="143"/>
      <c r="B254" s="159"/>
      <c r="C254" s="156"/>
      <c r="D254" s="156"/>
      <c r="E254" s="156"/>
      <c r="F254" s="156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spans="1:26" ht="15" x14ac:dyDescent="0.25">
      <c r="A255" s="143"/>
      <c r="B255" s="159"/>
      <c r="C255" s="156"/>
      <c r="D255" s="156"/>
      <c r="E255" s="156"/>
      <c r="F255" s="156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spans="1:26" ht="15" x14ac:dyDescent="0.25">
      <c r="A256" s="143"/>
      <c r="B256" s="159"/>
      <c r="C256" s="156"/>
      <c r="D256" s="156"/>
      <c r="E256" s="156"/>
      <c r="F256" s="156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spans="1:26" ht="15" x14ac:dyDescent="0.25">
      <c r="A257" s="143"/>
      <c r="B257" s="159"/>
      <c r="C257" s="156"/>
      <c r="D257" s="156"/>
      <c r="E257" s="156"/>
      <c r="F257" s="156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spans="1:26" ht="15" x14ac:dyDescent="0.25">
      <c r="A258" s="143"/>
      <c r="B258" s="159"/>
      <c r="C258" s="156"/>
      <c r="D258" s="156"/>
      <c r="E258" s="156"/>
      <c r="F258" s="156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spans="1:26" ht="15" x14ac:dyDescent="0.25">
      <c r="A259" s="143"/>
      <c r="B259" s="159"/>
      <c r="C259" s="156"/>
      <c r="D259" s="156"/>
      <c r="E259" s="156"/>
      <c r="F259" s="156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spans="1:26" ht="15" x14ac:dyDescent="0.25">
      <c r="A260" s="143"/>
      <c r="B260" s="159"/>
      <c r="C260" s="156"/>
      <c r="D260" s="156"/>
      <c r="E260" s="156"/>
      <c r="F260" s="156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spans="1:26" ht="15" x14ac:dyDescent="0.25">
      <c r="A261" s="143"/>
      <c r="B261" s="159"/>
      <c r="C261" s="156"/>
      <c r="D261" s="156"/>
      <c r="E261" s="156"/>
      <c r="F261" s="156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spans="1:26" ht="15" x14ac:dyDescent="0.25">
      <c r="A262" s="143"/>
      <c r="B262" s="159"/>
      <c r="C262" s="156"/>
      <c r="D262" s="156"/>
      <c r="E262" s="156"/>
      <c r="F262" s="156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spans="1:26" ht="15" x14ac:dyDescent="0.25">
      <c r="A263" s="143"/>
      <c r="B263" s="159"/>
      <c r="C263" s="156"/>
      <c r="D263" s="156"/>
      <c r="E263" s="156"/>
      <c r="F263" s="156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spans="1:26" ht="15" x14ac:dyDescent="0.25">
      <c r="A264" s="143"/>
      <c r="B264" s="159"/>
      <c r="C264" s="156"/>
      <c r="D264" s="156"/>
      <c r="E264" s="156"/>
      <c r="F264" s="156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spans="1:26" ht="15" x14ac:dyDescent="0.25">
      <c r="A265" s="143"/>
      <c r="B265" s="159"/>
      <c r="C265" s="156"/>
      <c r="D265" s="156"/>
      <c r="E265" s="156"/>
      <c r="F265" s="156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spans="1:26" ht="15" x14ac:dyDescent="0.25">
      <c r="A266" s="143"/>
      <c r="B266" s="159"/>
      <c r="C266" s="156"/>
      <c r="D266" s="156"/>
      <c r="E266" s="156"/>
      <c r="F266" s="156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spans="1:26" ht="15" x14ac:dyDescent="0.25">
      <c r="A267" s="143"/>
      <c r="B267" s="159"/>
      <c r="C267" s="156"/>
      <c r="D267" s="156"/>
      <c r="E267" s="156"/>
      <c r="F267" s="156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spans="1:26" ht="15" x14ac:dyDescent="0.25">
      <c r="A268" s="143"/>
      <c r="B268" s="159"/>
      <c r="C268" s="156"/>
      <c r="D268" s="156"/>
      <c r="E268" s="156"/>
      <c r="F268" s="156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spans="1:26" ht="15" x14ac:dyDescent="0.25">
      <c r="A269" s="143"/>
      <c r="B269" s="159"/>
      <c r="C269" s="156"/>
      <c r="D269" s="156"/>
      <c r="E269" s="156"/>
      <c r="F269" s="156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spans="1:26" ht="15" x14ac:dyDescent="0.25">
      <c r="A270" s="143"/>
      <c r="B270" s="159"/>
      <c r="C270" s="156"/>
      <c r="D270" s="156"/>
      <c r="E270" s="156"/>
      <c r="F270" s="156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spans="1:26" ht="15" x14ac:dyDescent="0.25">
      <c r="A271" s="143"/>
      <c r="B271" s="159"/>
      <c r="C271" s="156"/>
      <c r="D271" s="156"/>
      <c r="E271" s="156"/>
      <c r="F271" s="156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spans="1:26" ht="15" x14ac:dyDescent="0.25">
      <c r="A272" s="143"/>
      <c r="B272" s="159"/>
      <c r="C272" s="156"/>
      <c r="D272" s="156"/>
      <c r="E272" s="156"/>
      <c r="F272" s="156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spans="1:26" ht="15" x14ac:dyDescent="0.25">
      <c r="A273" s="143"/>
      <c r="B273" s="159"/>
      <c r="C273" s="156"/>
      <c r="D273" s="156"/>
      <c r="E273" s="156"/>
      <c r="F273" s="156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spans="1:26" ht="15" x14ac:dyDescent="0.25">
      <c r="A274" s="143"/>
      <c r="B274" s="159"/>
      <c r="C274" s="156"/>
      <c r="D274" s="156"/>
      <c r="E274" s="156"/>
      <c r="F274" s="156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spans="1:26" ht="15" x14ac:dyDescent="0.25">
      <c r="A275" s="143"/>
      <c r="B275" s="159"/>
      <c r="C275" s="156"/>
      <c r="D275" s="156"/>
      <c r="E275" s="156"/>
      <c r="F275" s="156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spans="1:26" ht="15" x14ac:dyDescent="0.25">
      <c r="A276" s="143"/>
      <c r="B276" s="159"/>
      <c r="C276" s="156"/>
      <c r="D276" s="156"/>
      <c r="E276" s="156"/>
      <c r="F276" s="156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spans="1:26" ht="15" x14ac:dyDescent="0.25">
      <c r="A277" s="143"/>
      <c r="B277" s="159"/>
      <c r="C277" s="156"/>
      <c r="D277" s="156"/>
      <c r="E277" s="156"/>
      <c r="F277" s="156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spans="1:26" ht="15" x14ac:dyDescent="0.25">
      <c r="A278" s="143"/>
      <c r="B278" s="159"/>
      <c r="C278" s="156"/>
      <c r="D278" s="156"/>
      <c r="E278" s="156"/>
      <c r="F278" s="156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spans="1:26" ht="15" x14ac:dyDescent="0.25">
      <c r="A279" s="143"/>
      <c r="B279" s="159"/>
      <c r="C279" s="156"/>
      <c r="D279" s="156"/>
      <c r="E279" s="156"/>
      <c r="F279" s="156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spans="1:26" ht="15" x14ac:dyDescent="0.25">
      <c r="A280" s="143"/>
      <c r="B280" s="159"/>
      <c r="C280" s="156"/>
      <c r="D280" s="156"/>
      <c r="E280" s="156"/>
      <c r="F280" s="156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spans="1:26" ht="15" x14ac:dyDescent="0.25">
      <c r="A281" s="143"/>
      <c r="B281" s="159"/>
      <c r="C281" s="156"/>
      <c r="D281" s="156"/>
      <c r="E281" s="156"/>
      <c r="F281" s="156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spans="1:26" ht="15" x14ac:dyDescent="0.25">
      <c r="A282" s="143"/>
      <c r="B282" s="159"/>
      <c r="C282" s="156"/>
      <c r="D282" s="156"/>
      <c r="E282" s="156"/>
      <c r="F282" s="156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spans="1:26" ht="15" x14ac:dyDescent="0.25">
      <c r="A283" s="143"/>
      <c r="B283" s="159"/>
      <c r="C283" s="156"/>
      <c r="D283" s="156"/>
      <c r="E283" s="156"/>
      <c r="F283" s="156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spans="1:26" ht="15" x14ac:dyDescent="0.25">
      <c r="A284" s="143"/>
      <c r="B284" s="159"/>
      <c r="C284" s="156"/>
      <c r="D284" s="156"/>
      <c r="E284" s="156"/>
      <c r="F284" s="156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spans="1:26" ht="15" x14ac:dyDescent="0.25">
      <c r="A285" s="143"/>
      <c r="B285" s="159"/>
      <c r="C285" s="156"/>
      <c r="D285" s="156"/>
      <c r="E285" s="156"/>
      <c r="F285" s="156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spans="1:26" ht="15" x14ac:dyDescent="0.25">
      <c r="A286" s="143"/>
      <c r="B286" s="159"/>
      <c r="C286" s="156"/>
      <c r="D286" s="156"/>
      <c r="E286" s="156"/>
      <c r="F286" s="156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spans="1:26" ht="15" x14ac:dyDescent="0.25">
      <c r="A287" s="143"/>
      <c r="B287" s="159"/>
      <c r="C287" s="156"/>
      <c r="D287" s="156"/>
      <c r="E287" s="156"/>
      <c r="F287" s="156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spans="1:26" ht="15" x14ac:dyDescent="0.25">
      <c r="A288" s="143"/>
      <c r="B288" s="159"/>
      <c r="C288" s="156"/>
      <c r="D288" s="156"/>
      <c r="E288" s="156"/>
      <c r="F288" s="156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spans="1:26" ht="15" x14ac:dyDescent="0.25">
      <c r="A289" s="143"/>
      <c r="B289" s="159"/>
      <c r="C289" s="156"/>
      <c r="D289" s="156"/>
      <c r="E289" s="156"/>
      <c r="F289" s="156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spans="1:26" ht="15" x14ac:dyDescent="0.25">
      <c r="A290" s="143"/>
      <c r="B290" s="159"/>
      <c r="C290" s="156"/>
      <c r="D290" s="156"/>
      <c r="E290" s="156"/>
      <c r="F290" s="156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spans="1:26" ht="15" x14ac:dyDescent="0.25">
      <c r="A291" s="143"/>
      <c r="B291" s="159"/>
      <c r="C291" s="156"/>
      <c r="D291" s="156"/>
      <c r="E291" s="156"/>
      <c r="F291" s="156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spans="1:26" ht="15" x14ac:dyDescent="0.25">
      <c r="A292" s="143"/>
      <c r="B292" s="159"/>
      <c r="C292" s="156"/>
      <c r="D292" s="156"/>
      <c r="E292" s="156"/>
      <c r="F292" s="156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spans="1:26" ht="15" x14ac:dyDescent="0.25">
      <c r="A293" s="143"/>
      <c r="B293" s="159"/>
      <c r="C293" s="156"/>
      <c r="D293" s="156"/>
      <c r="E293" s="156"/>
      <c r="F293" s="156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spans="1:26" ht="15" x14ac:dyDescent="0.25">
      <c r="A294" s="143"/>
      <c r="B294" s="159"/>
      <c r="C294" s="156"/>
      <c r="D294" s="156"/>
      <c r="E294" s="156"/>
      <c r="F294" s="156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spans="1:26" ht="15" x14ac:dyDescent="0.25">
      <c r="A295" s="143"/>
      <c r="B295" s="159"/>
      <c r="C295" s="156"/>
      <c r="D295" s="156"/>
      <c r="E295" s="156"/>
      <c r="F295" s="156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spans="1:26" ht="15" x14ac:dyDescent="0.25">
      <c r="A296" s="143"/>
      <c r="B296" s="159"/>
      <c r="C296" s="156"/>
      <c r="D296" s="156"/>
      <c r="E296" s="156"/>
      <c r="F296" s="156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spans="1:26" ht="15" x14ac:dyDescent="0.25">
      <c r="A297" s="143"/>
      <c r="B297" s="159"/>
      <c r="C297" s="156"/>
      <c r="D297" s="156"/>
      <c r="E297" s="156"/>
      <c r="F297" s="156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spans="1:26" ht="15" x14ac:dyDescent="0.25">
      <c r="A298" s="143"/>
      <c r="B298" s="159"/>
      <c r="C298" s="156"/>
      <c r="D298" s="156"/>
      <c r="E298" s="156"/>
      <c r="F298" s="156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spans="1:26" ht="15" x14ac:dyDescent="0.25">
      <c r="A299" s="143"/>
      <c r="B299" s="159"/>
      <c r="C299" s="156"/>
      <c r="D299" s="156"/>
      <c r="E299" s="156"/>
      <c r="F299" s="156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spans="1:26" ht="15" x14ac:dyDescent="0.25">
      <c r="A300" s="143"/>
      <c r="B300" s="159"/>
      <c r="C300" s="156"/>
      <c r="D300" s="156"/>
      <c r="E300" s="156"/>
      <c r="F300" s="156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spans="1:26" ht="15" x14ac:dyDescent="0.25">
      <c r="A301" s="143"/>
      <c r="B301" s="159"/>
      <c r="C301" s="156"/>
      <c r="D301" s="156"/>
      <c r="E301" s="156"/>
      <c r="F301" s="156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spans="1:26" ht="15" x14ac:dyDescent="0.25">
      <c r="A302" s="143"/>
      <c r="B302" s="159"/>
      <c r="C302" s="156"/>
      <c r="D302" s="156"/>
      <c r="E302" s="156"/>
      <c r="F302" s="156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spans="1:26" ht="15" x14ac:dyDescent="0.25">
      <c r="A303" s="143"/>
      <c r="B303" s="159"/>
      <c r="C303" s="156"/>
      <c r="D303" s="156"/>
      <c r="E303" s="156"/>
      <c r="F303" s="156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spans="1:26" ht="15" x14ac:dyDescent="0.25">
      <c r="A304" s="143"/>
      <c r="B304" s="159"/>
      <c r="C304" s="156"/>
      <c r="D304" s="156"/>
      <c r="E304" s="156"/>
      <c r="F304" s="156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spans="1:26" ht="15" x14ac:dyDescent="0.25">
      <c r="A305" s="143"/>
      <c r="B305" s="159"/>
      <c r="C305" s="156"/>
      <c r="D305" s="156"/>
      <c r="E305" s="156"/>
      <c r="F305" s="156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spans="1:26" ht="15" x14ac:dyDescent="0.25">
      <c r="A306" s="143"/>
      <c r="B306" s="159"/>
      <c r="C306" s="156"/>
      <c r="D306" s="156"/>
      <c r="E306" s="156"/>
      <c r="F306" s="156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spans="1:26" ht="15" x14ac:dyDescent="0.25">
      <c r="A307" s="143"/>
      <c r="B307" s="159"/>
      <c r="C307" s="156"/>
      <c r="D307" s="156"/>
      <c r="E307" s="156"/>
      <c r="F307" s="156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spans="1:26" ht="15" x14ac:dyDescent="0.25">
      <c r="A308" s="143"/>
      <c r="B308" s="159"/>
      <c r="C308" s="156"/>
      <c r="D308" s="156"/>
      <c r="E308" s="156"/>
      <c r="F308" s="156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spans="1:26" ht="15" x14ac:dyDescent="0.25">
      <c r="A309" s="143"/>
      <c r="B309" s="159"/>
      <c r="C309" s="156"/>
      <c r="D309" s="156"/>
      <c r="E309" s="156"/>
      <c r="F309" s="156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spans="1:26" ht="15" x14ac:dyDescent="0.25">
      <c r="A310" s="143"/>
      <c r="B310" s="159"/>
      <c r="C310" s="156"/>
      <c r="D310" s="156"/>
      <c r="E310" s="156"/>
      <c r="F310" s="156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spans="1:26" ht="15" x14ac:dyDescent="0.25">
      <c r="A311" s="143"/>
      <c r="B311" s="159"/>
      <c r="C311" s="156"/>
      <c r="D311" s="156"/>
      <c r="E311" s="156"/>
      <c r="F311" s="156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spans="1:26" ht="15" x14ac:dyDescent="0.25">
      <c r="A312" s="143"/>
      <c r="B312" s="159"/>
      <c r="C312" s="156"/>
      <c r="D312" s="156"/>
      <c r="E312" s="156"/>
      <c r="F312" s="156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spans="1:26" ht="15" x14ac:dyDescent="0.25">
      <c r="A313" s="143"/>
      <c r="B313" s="159"/>
      <c r="C313" s="156"/>
      <c r="D313" s="156"/>
      <c r="E313" s="156"/>
      <c r="F313" s="156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spans="1:26" ht="15" x14ac:dyDescent="0.25">
      <c r="A314" s="143"/>
      <c r="B314" s="159"/>
      <c r="C314" s="156"/>
      <c r="D314" s="156"/>
      <c r="E314" s="156"/>
      <c r="F314" s="156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spans="1:26" ht="15" x14ac:dyDescent="0.25">
      <c r="A315" s="143"/>
      <c r="B315" s="159"/>
      <c r="C315" s="156"/>
      <c r="D315" s="156"/>
      <c r="E315" s="156"/>
      <c r="F315" s="156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spans="1:26" ht="15" x14ac:dyDescent="0.25">
      <c r="A316" s="143"/>
      <c r="B316" s="159"/>
      <c r="C316" s="156"/>
      <c r="D316" s="156"/>
      <c r="E316" s="156"/>
      <c r="F316" s="156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spans="1:26" ht="15" x14ac:dyDescent="0.25">
      <c r="A317" s="143"/>
      <c r="B317" s="159"/>
      <c r="C317" s="156"/>
      <c r="D317" s="156"/>
      <c r="E317" s="156"/>
      <c r="F317" s="156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spans="1:26" ht="15" x14ac:dyDescent="0.25">
      <c r="A318" s="143"/>
      <c r="B318" s="159"/>
      <c r="C318" s="156"/>
      <c r="D318" s="156"/>
      <c r="E318" s="156"/>
      <c r="F318" s="156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spans="1:26" ht="15" x14ac:dyDescent="0.25">
      <c r="A319" s="143"/>
      <c r="B319" s="159"/>
      <c r="C319" s="156"/>
      <c r="D319" s="156"/>
      <c r="E319" s="156"/>
      <c r="F319" s="156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spans="1:26" ht="15" x14ac:dyDescent="0.25">
      <c r="A320" s="143"/>
      <c r="B320" s="159"/>
      <c r="C320" s="156"/>
      <c r="D320" s="156"/>
      <c r="E320" s="156"/>
      <c r="F320" s="156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spans="1:26" ht="15" x14ac:dyDescent="0.25">
      <c r="A321" s="143"/>
      <c r="B321" s="159"/>
      <c r="C321" s="156"/>
      <c r="D321" s="156"/>
      <c r="E321" s="156"/>
      <c r="F321" s="156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spans="1:26" ht="15" x14ac:dyDescent="0.25">
      <c r="A322" s="143"/>
      <c r="B322" s="159"/>
      <c r="C322" s="156"/>
      <c r="D322" s="156"/>
      <c r="E322" s="156"/>
      <c r="F322" s="156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spans="1:26" ht="15" x14ac:dyDescent="0.25">
      <c r="A323" s="143"/>
      <c r="B323" s="159"/>
      <c r="C323" s="156"/>
      <c r="D323" s="156"/>
      <c r="E323" s="156"/>
      <c r="F323" s="156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spans="1:26" ht="15" x14ac:dyDescent="0.25">
      <c r="A324" s="143"/>
      <c r="B324" s="159"/>
      <c r="C324" s="156"/>
      <c r="D324" s="156"/>
      <c r="E324" s="156"/>
      <c r="F324" s="156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spans="1:26" ht="15" x14ac:dyDescent="0.25">
      <c r="A325" s="143"/>
      <c r="B325" s="159"/>
      <c r="C325" s="156"/>
      <c r="D325" s="156"/>
      <c r="E325" s="156"/>
      <c r="F325" s="156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spans="1:26" ht="15" x14ac:dyDescent="0.25">
      <c r="A326" s="143"/>
      <c r="B326" s="159"/>
      <c r="C326" s="156"/>
      <c r="D326" s="156"/>
      <c r="E326" s="156"/>
      <c r="F326" s="156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spans="1:26" ht="15" x14ac:dyDescent="0.25">
      <c r="A327" s="143"/>
      <c r="B327" s="159"/>
      <c r="C327" s="156"/>
      <c r="D327" s="156"/>
      <c r="E327" s="156"/>
      <c r="F327" s="156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spans="1:26" ht="15" x14ac:dyDescent="0.25">
      <c r="A328" s="143"/>
      <c r="B328" s="159"/>
      <c r="C328" s="156"/>
      <c r="D328" s="156"/>
      <c r="E328" s="156"/>
      <c r="F328" s="156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spans="1:26" ht="15" x14ac:dyDescent="0.25">
      <c r="A329" s="143"/>
      <c r="B329" s="159"/>
      <c r="C329" s="156"/>
      <c r="D329" s="156"/>
      <c r="E329" s="156"/>
      <c r="F329" s="156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spans="1:26" ht="15" x14ac:dyDescent="0.25">
      <c r="A330" s="143"/>
      <c r="B330" s="159"/>
      <c r="C330" s="156"/>
      <c r="D330" s="156"/>
      <c r="E330" s="156"/>
      <c r="F330" s="156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spans="1:26" ht="15" x14ac:dyDescent="0.25">
      <c r="A331" s="143"/>
      <c r="B331" s="159"/>
      <c r="C331" s="156"/>
      <c r="D331" s="156"/>
      <c r="E331" s="156"/>
      <c r="F331" s="156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spans="1:26" ht="15" x14ac:dyDescent="0.25">
      <c r="A332" s="143"/>
      <c r="B332" s="159"/>
      <c r="C332" s="156"/>
      <c r="D332" s="156"/>
      <c r="E332" s="156"/>
      <c r="F332" s="156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spans="1:26" ht="15" x14ac:dyDescent="0.25">
      <c r="A333" s="143"/>
      <c r="B333" s="159"/>
      <c r="C333" s="156"/>
      <c r="D333" s="156"/>
      <c r="E333" s="156"/>
      <c r="F333" s="156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spans="1:26" ht="15" x14ac:dyDescent="0.25">
      <c r="A334" s="143"/>
      <c r="B334" s="159"/>
      <c r="C334" s="156"/>
      <c r="D334" s="156"/>
      <c r="E334" s="156"/>
      <c r="F334" s="156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spans="1:26" ht="15" x14ac:dyDescent="0.25">
      <c r="A335" s="143"/>
      <c r="B335" s="159"/>
      <c r="C335" s="156"/>
      <c r="D335" s="156"/>
      <c r="E335" s="156"/>
      <c r="F335" s="156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spans="1:26" ht="15" x14ac:dyDescent="0.25">
      <c r="A336" s="143"/>
      <c r="B336" s="159"/>
      <c r="C336" s="156"/>
      <c r="D336" s="156"/>
      <c r="E336" s="156"/>
      <c r="F336" s="156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spans="1:26" ht="15" x14ac:dyDescent="0.25">
      <c r="A337" s="143"/>
      <c r="B337" s="159"/>
      <c r="C337" s="156"/>
      <c r="D337" s="156"/>
      <c r="E337" s="156"/>
      <c r="F337" s="156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spans="1:26" ht="15" x14ac:dyDescent="0.25">
      <c r="A338" s="143"/>
      <c r="B338" s="159"/>
      <c r="C338" s="156"/>
      <c r="D338" s="156"/>
      <c r="E338" s="156"/>
      <c r="F338" s="156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spans="1:26" ht="15" x14ac:dyDescent="0.25">
      <c r="A339" s="143"/>
      <c r="B339" s="159"/>
      <c r="C339" s="156"/>
      <c r="D339" s="156"/>
      <c r="E339" s="156"/>
      <c r="F339" s="156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spans="1:26" ht="15" x14ac:dyDescent="0.25">
      <c r="A340" s="143"/>
      <c r="B340" s="159"/>
      <c r="C340" s="156"/>
      <c r="D340" s="156"/>
      <c r="E340" s="156"/>
      <c r="F340" s="156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spans="1:26" ht="15" x14ac:dyDescent="0.25">
      <c r="A341" s="143"/>
      <c r="B341" s="159"/>
      <c r="C341" s="156"/>
      <c r="D341" s="156"/>
      <c r="E341" s="156"/>
      <c r="F341" s="156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spans="1:26" ht="15" x14ac:dyDescent="0.25">
      <c r="A342" s="143"/>
      <c r="B342" s="159"/>
      <c r="C342" s="156"/>
      <c r="D342" s="156"/>
      <c r="E342" s="156"/>
      <c r="F342" s="156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spans="1:26" ht="15" x14ac:dyDescent="0.25">
      <c r="A343" s="143"/>
      <c r="B343" s="159"/>
      <c r="C343" s="156"/>
      <c r="D343" s="156"/>
      <c r="E343" s="156"/>
      <c r="F343" s="156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spans="1:26" ht="15" x14ac:dyDescent="0.25">
      <c r="A344" s="143"/>
      <c r="B344" s="159"/>
      <c r="C344" s="156"/>
      <c r="D344" s="156"/>
      <c r="E344" s="156"/>
      <c r="F344" s="156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spans="1:26" ht="15" x14ac:dyDescent="0.25">
      <c r="A345" s="143"/>
      <c r="B345" s="159"/>
      <c r="C345" s="156"/>
      <c r="D345" s="156"/>
      <c r="E345" s="156"/>
      <c r="F345" s="156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spans="1:26" ht="15" x14ac:dyDescent="0.25">
      <c r="A346" s="143"/>
      <c r="B346" s="159"/>
      <c r="C346" s="156"/>
      <c r="D346" s="156"/>
      <c r="E346" s="156"/>
      <c r="F346" s="156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spans="1:26" ht="15" x14ac:dyDescent="0.25">
      <c r="A347" s="143"/>
      <c r="B347" s="159"/>
      <c r="C347" s="156"/>
      <c r="D347" s="156"/>
      <c r="E347" s="156"/>
      <c r="F347" s="156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spans="1:26" ht="15" x14ac:dyDescent="0.25">
      <c r="A348" s="143"/>
      <c r="B348" s="159"/>
      <c r="C348" s="156"/>
      <c r="D348" s="156"/>
      <c r="E348" s="156"/>
      <c r="F348" s="156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spans="1:26" ht="15" x14ac:dyDescent="0.25">
      <c r="A349" s="143"/>
      <c r="B349" s="159"/>
      <c r="C349" s="156"/>
      <c r="D349" s="156"/>
      <c r="E349" s="156"/>
      <c r="F349" s="156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spans="1:26" ht="15" x14ac:dyDescent="0.25">
      <c r="A350" s="143"/>
      <c r="B350" s="159"/>
      <c r="C350" s="156"/>
      <c r="D350" s="156"/>
      <c r="E350" s="156"/>
      <c r="F350" s="156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spans="1:26" ht="15" x14ac:dyDescent="0.25">
      <c r="A351" s="143"/>
      <c r="B351" s="159"/>
      <c r="C351" s="156"/>
      <c r="D351" s="156"/>
      <c r="E351" s="156"/>
      <c r="F351" s="156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spans="1:26" ht="15" x14ac:dyDescent="0.25">
      <c r="A352" s="143"/>
      <c r="B352" s="159"/>
      <c r="C352" s="156"/>
      <c r="D352" s="156"/>
      <c r="E352" s="156"/>
      <c r="F352" s="156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spans="1:26" ht="15" x14ac:dyDescent="0.25">
      <c r="A353" s="143"/>
      <c r="B353" s="159"/>
      <c r="C353" s="156"/>
      <c r="D353" s="156"/>
      <c r="E353" s="156"/>
      <c r="F353" s="156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spans="1:26" ht="15" x14ac:dyDescent="0.25">
      <c r="A354" s="143"/>
      <c r="B354" s="159"/>
      <c r="C354" s="156"/>
      <c r="D354" s="156"/>
      <c r="E354" s="156"/>
      <c r="F354" s="156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spans="1:26" ht="15" x14ac:dyDescent="0.25">
      <c r="A355" s="143"/>
      <c r="B355" s="159"/>
      <c r="C355" s="156"/>
      <c r="D355" s="156"/>
      <c r="E355" s="156"/>
      <c r="F355" s="156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spans="1:26" ht="15" x14ac:dyDescent="0.25">
      <c r="A356" s="143"/>
      <c r="B356" s="159"/>
      <c r="C356" s="156"/>
      <c r="D356" s="156"/>
      <c r="E356" s="156"/>
      <c r="F356" s="156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spans="1:26" ht="15" x14ac:dyDescent="0.25">
      <c r="A357" s="143"/>
      <c r="B357" s="159"/>
      <c r="C357" s="156"/>
      <c r="D357" s="156"/>
      <c r="E357" s="156"/>
      <c r="F357" s="156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spans="1:26" ht="15" x14ac:dyDescent="0.25">
      <c r="A358" s="143"/>
      <c r="B358" s="159"/>
      <c r="C358" s="156"/>
      <c r="D358" s="156"/>
      <c r="E358" s="156"/>
      <c r="F358" s="156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spans="1:26" ht="15" x14ac:dyDescent="0.25">
      <c r="A359" s="143"/>
      <c r="B359" s="159"/>
      <c r="C359" s="156"/>
      <c r="D359" s="156"/>
      <c r="E359" s="156"/>
      <c r="F359" s="156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spans="1:26" ht="15" x14ac:dyDescent="0.25">
      <c r="A360" s="143"/>
      <c r="B360" s="159"/>
      <c r="C360" s="156"/>
      <c r="D360" s="156"/>
      <c r="E360" s="156"/>
      <c r="F360" s="156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spans="1:26" ht="15" x14ac:dyDescent="0.25">
      <c r="A361" s="143"/>
      <c r="B361" s="159"/>
      <c r="C361" s="156"/>
      <c r="D361" s="156"/>
      <c r="E361" s="156"/>
      <c r="F361" s="156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spans="1:26" ht="15" x14ac:dyDescent="0.25">
      <c r="A362" s="143"/>
      <c r="B362" s="159"/>
      <c r="C362" s="156"/>
      <c r="D362" s="156"/>
      <c r="E362" s="156"/>
      <c r="F362" s="156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spans="1:26" ht="15" x14ac:dyDescent="0.25">
      <c r="A363" s="143"/>
      <c r="B363" s="159"/>
      <c r="C363" s="156"/>
      <c r="D363" s="156"/>
      <c r="E363" s="156"/>
      <c r="F363" s="156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spans="1:26" ht="15" x14ac:dyDescent="0.25">
      <c r="A364" s="143"/>
      <c r="B364" s="159"/>
      <c r="C364" s="156"/>
      <c r="D364" s="156"/>
      <c r="E364" s="156"/>
      <c r="F364" s="156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spans="1:26" ht="15" x14ac:dyDescent="0.25">
      <c r="A365" s="143"/>
      <c r="B365" s="159"/>
      <c r="C365" s="156"/>
      <c r="D365" s="156"/>
      <c r="E365" s="156"/>
      <c r="F365" s="156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spans="1:26" ht="15" x14ac:dyDescent="0.25">
      <c r="A366" s="143"/>
      <c r="B366" s="159"/>
      <c r="C366" s="156"/>
      <c r="D366" s="156"/>
      <c r="E366" s="156"/>
      <c r="F366" s="156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spans="1:26" ht="15" x14ac:dyDescent="0.25">
      <c r="A367" s="143"/>
      <c r="B367" s="159"/>
      <c r="C367" s="156"/>
      <c r="D367" s="156"/>
      <c r="E367" s="156"/>
      <c r="F367" s="156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spans="1:26" ht="15" x14ac:dyDescent="0.25">
      <c r="A368" s="143"/>
      <c r="B368" s="159"/>
      <c r="C368" s="156"/>
      <c r="D368" s="156"/>
      <c r="E368" s="156"/>
      <c r="F368" s="156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spans="1:26" ht="15" x14ac:dyDescent="0.25">
      <c r="A369" s="143"/>
      <c r="B369" s="159"/>
      <c r="C369" s="156"/>
      <c r="D369" s="156"/>
      <c r="E369" s="156"/>
      <c r="F369" s="156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spans="1:26" ht="15" x14ac:dyDescent="0.25">
      <c r="A370" s="143"/>
      <c r="B370" s="159"/>
      <c r="C370" s="156"/>
      <c r="D370" s="156"/>
      <c r="E370" s="156"/>
      <c r="F370" s="156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spans="1:26" ht="15" x14ac:dyDescent="0.25">
      <c r="A371" s="143"/>
      <c r="B371" s="159"/>
      <c r="C371" s="156"/>
      <c r="D371" s="156"/>
      <c r="E371" s="156"/>
      <c r="F371" s="156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spans="1:26" ht="15" x14ac:dyDescent="0.25">
      <c r="A372" s="143"/>
      <c r="B372" s="159"/>
      <c r="C372" s="156"/>
      <c r="D372" s="156"/>
      <c r="E372" s="156"/>
      <c r="F372" s="156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spans="1:26" ht="15" x14ac:dyDescent="0.25">
      <c r="A373" s="143"/>
      <c r="B373" s="159"/>
      <c r="C373" s="156"/>
      <c r="D373" s="156"/>
      <c r="E373" s="156"/>
      <c r="F373" s="156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spans="1:26" ht="15" x14ac:dyDescent="0.25">
      <c r="A374" s="143"/>
      <c r="B374" s="159"/>
      <c r="C374" s="156"/>
      <c r="D374" s="156"/>
      <c r="E374" s="156"/>
      <c r="F374" s="156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spans="1:26" ht="15" x14ac:dyDescent="0.25">
      <c r="A375" s="143"/>
      <c r="B375" s="159"/>
      <c r="C375" s="156"/>
      <c r="D375" s="156"/>
      <c r="E375" s="156"/>
      <c r="F375" s="156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spans="1:26" ht="15" x14ac:dyDescent="0.25">
      <c r="A376" s="143"/>
      <c r="B376" s="159"/>
      <c r="C376" s="156"/>
      <c r="D376" s="156"/>
      <c r="E376" s="156"/>
      <c r="F376" s="156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spans="1:26" ht="15" x14ac:dyDescent="0.25">
      <c r="A377" s="143"/>
      <c r="B377" s="159"/>
      <c r="C377" s="156"/>
      <c r="D377" s="156"/>
      <c r="E377" s="156"/>
      <c r="F377" s="156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spans="1:26" ht="15" x14ac:dyDescent="0.25">
      <c r="A378" s="143"/>
      <c r="B378" s="159"/>
      <c r="C378" s="156"/>
      <c r="D378" s="156"/>
      <c r="E378" s="156"/>
      <c r="F378" s="156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spans="1:26" ht="15" x14ac:dyDescent="0.25">
      <c r="A379" s="143"/>
      <c r="B379" s="159"/>
      <c r="C379" s="156"/>
      <c r="D379" s="156"/>
      <c r="E379" s="156"/>
      <c r="F379" s="156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spans="1:26" ht="15" x14ac:dyDescent="0.25">
      <c r="A380" s="143"/>
      <c r="B380" s="159"/>
      <c r="C380" s="156"/>
      <c r="D380" s="156"/>
      <c r="E380" s="156"/>
      <c r="F380" s="156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spans="1:26" ht="15" x14ac:dyDescent="0.25">
      <c r="A381" s="143"/>
      <c r="B381" s="159"/>
      <c r="C381" s="156"/>
      <c r="D381" s="156"/>
      <c r="E381" s="156"/>
      <c r="F381" s="156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spans="1:26" ht="15" x14ac:dyDescent="0.25">
      <c r="A382" s="143"/>
      <c r="B382" s="159"/>
      <c r="C382" s="156"/>
      <c r="D382" s="156"/>
      <c r="E382" s="156"/>
      <c r="F382" s="156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spans="1:26" ht="15" x14ac:dyDescent="0.25">
      <c r="A383" s="143"/>
      <c r="B383" s="159"/>
      <c r="C383" s="156"/>
      <c r="D383" s="156"/>
      <c r="E383" s="156"/>
      <c r="F383" s="156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spans="1:26" ht="15" x14ac:dyDescent="0.25">
      <c r="A384" s="143"/>
      <c r="B384" s="159"/>
      <c r="C384" s="156"/>
      <c r="D384" s="156"/>
      <c r="E384" s="156"/>
      <c r="F384" s="156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spans="1:26" ht="15" x14ac:dyDescent="0.25">
      <c r="A385" s="143"/>
      <c r="B385" s="159"/>
      <c r="C385" s="156"/>
      <c r="D385" s="156"/>
      <c r="E385" s="156"/>
      <c r="F385" s="156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spans="1:26" ht="15" x14ac:dyDescent="0.25">
      <c r="A386" s="143"/>
      <c r="B386" s="159"/>
      <c r="C386" s="156"/>
      <c r="D386" s="156"/>
      <c r="E386" s="156"/>
      <c r="F386" s="156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spans="1:26" ht="15" x14ac:dyDescent="0.25">
      <c r="A387" s="143"/>
      <c r="B387" s="159"/>
      <c r="C387" s="156"/>
      <c r="D387" s="156"/>
      <c r="E387" s="156"/>
      <c r="F387" s="156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spans="1:26" ht="15" x14ac:dyDescent="0.25">
      <c r="A388" s="143"/>
      <c r="B388" s="159"/>
      <c r="C388" s="156"/>
      <c r="D388" s="156"/>
      <c r="E388" s="156"/>
      <c r="F388" s="156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spans="1:26" ht="15" x14ac:dyDescent="0.25">
      <c r="A389" s="143"/>
      <c r="B389" s="159"/>
      <c r="C389" s="156"/>
      <c r="D389" s="156"/>
      <c r="E389" s="156"/>
      <c r="F389" s="156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spans="1:26" ht="15" x14ac:dyDescent="0.25">
      <c r="A390" s="143"/>
      <c r="B390" s="159"/>
      <c r="C390" s="156"/>
      <c r="D390" s="156"/>
      <c r="E390" s="156"/>
      <c r="F390" s="156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spans="1:26" ht="15" x14ac:dyDescent="0.25">
      <c r="A391" s="143"/>
      <c r="B391" s="159"/>
      <c r="C391" s="156"/>
      <c r="D391" s="156"/>
      <c r="E391" s="156"/>
      <c r="F391" s="156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spans="1:26" ht="15" x14ac:dyDescent="0.25">
      <c r="A392" s="143"/>
      <c r="B392" s="159"/>
      <c r="C392" s="156"/>
      <c r="D392" s="156"/>
      <c r="E392" s="156"/>
      <c r="F392" s="156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spans="1:26" ht="15" x14ac:dyDescent="0.25">
      <c r="A393" s="143"/>
      <c r="B393" s="159"/>
      <c r="C393" s="156"/>
      <c r="D393" s="156"/>
      <c r="E393" s="156"/>
      <c r="F393" s="156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spans="1:26" ht="15" x14ac:dyDescent="0.25">
      <c r="A394" s="143"/>
      <c r="B394" s="159"/>
      <c r="C394" s="156"/>
      <c r="D394" s="156"/>
      <c r="E394" s="156"/>
      <c r="F394" s="156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spans="1:26" ht="15" x14ac:dyDescent="0.25">
      <c r="A395" s="143"/>
      <c r="B395" s="159"/>
      <c r="C395" s="156"/>
      <c r="D395" s="156"/>
      <c r="E395" s="156"/>
      <c r="F395" s="156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spans="1:26" ht="15" x14ac:dyDescent="0.25">
      <c r="A396" s="143"/>
      <c r="B396" s="159"/>
      <c r="C396" s="156"/>
      <c r="D396" s="156"/>
      <c r="E396" s="156"/>
      <c r="F396" s="156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spans="1:26" ht="15" x14ac:dyDescent="0.25">
      <c r="A397" s="143"/>
      <c r="B397" s="159"/>
      <c r="C397" s="156"/>
      <c r="D397" s="156"/>
      <c r="E397" s="156"/>
      <c r="F397" s="156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spans="1:26" ht="15" x14ac:dyDescent="0.25">
      <c r="A398" s="143"/>
      <c r="B398" s="159"/>
      <c r="C398" s="156"/>
      <c r="D398" s="156"/>
      <c r="E398" s="156"/>
      <c r="F398" s="156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spans="1:26" ht="15" x14ac:dyDescent="0.25">
      <c r="A399" s="143"/>
      <c r="B399" s="159"/>
      <c r="C399" s="156"/>
      <c r="D399" s="156"/>
      <c r="E399" s="156"/>
      <c r="F399" s="156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spans="1:26" ht="15" x14ac:dyDescent="0.25">
      <c r="A400" s="143"/>
      <c r="B400" s="159"/>
      <c r="C400" s="156"/>
      <c r="D400" s="156"/>
      <c r="E400" s="156"/>
      <c r="F400" s="156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spans="1:26" ht="15" x14ac:dyDescent="0.25">
      <c r="A401" s="143"/>
      <c r="B401" s="159"/>
      <c r="C401" s="156"/>
      <c r="D401" s="156"/>
      <c r="E401" s="156"/>
      <c r="F401" s="156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spans="1:26" ht="15" x14ac:dyDescent="0.25">
      <c r="A402" s="143"/>
      <c r="B402" s="159"/>
      <c r="C402" s="156"/>
      <c r="D402" s="156"/>
      <c r="E402" s="156"/>
      <c r="F402" s="156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spans="1:26" ht="15" x14ac:dyDescent="0.25">
      <c r="A403" s="143"/>
      <c r="B403" s="159"/>
      <c r="C403" s="156"/>
      <c r="D403" s="156"/>
      <c r="E403" s="156"/>
      <c r="F403" s="156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spans="1:26" ht="15" x14ac:dyDescent="0.25">
      <c r="A404" s="143"/>
      <c r="B404" s="159"/>
      <c r="C404" s="156"/>
      <c r="D404" s="156"/>
      <c r="E404" s="156"/>
      <c r="F404" s="156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spans="1:26" ht="15" x14ac:dyDescent="0.25">
      <c r="A405" s="143"/>
      <c r="B405" s="159"/>
      <c r="C405" s="156"/>
      <c r="D405" s="156"/>
      <c r="E405" s="156"/>
      <c r="F405" s="156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spans="1:26" ht="15" x14ac:dyDescent="0.25">
      <c r="A406" s="143"/>
      <c r="B406" s="159"/>
      <c r="C406" s="156"/>
      <c r="D406" s="156"/>
      <c r="E406" s="156"/>
      <c r="F406" s="156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spans="1:26" ht="15" x14ac:dyDescent="0.25">
      <c r="A407" s="143"/>
      <c r="B407" s="159"/>
      <c r="C407" s="156"/>
      <c r="D407" s="156"/>
      <c r="E407" s="156"/>
      <c r="F407" s="156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spans="1:26" ht="15" x14ac:dyDescent="0.25">
      <c r="A408" s="143"/>
      <c r="B408" s="159"/>
      <c r="C408" s="156"/>
      <c r="D408" s="156"/>
      <c r="E408" s="156"/>
      <c r="F408" s="156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spans="1:26" ht="15" x14ac:dyDescent="0.25">
      <c r="A409" s="143"/>
      <c r="B409" s="159"/>
      <c r="C409" s="156"/>
      <c r="D409" s="156"/>
      <c r="E409" s="156"/>
      <c r="F409" s="156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spans="1:26" ht="15" x14ac:dyDescent="0.25">
      <c r="A410" s="143"/>
      <c r="B410" s="159"/>
      <c r="C410" s="156"/>
      <c r="D410" s="156"/>
      <c r="E410" s="156"/>
      <c r="F410" s="156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spans="1:26" ht="15" x14ac:dyDescent="0.25">
      <c r="A411" s="143"/>
      <c r="B411" s="159"/>
      <c r="C411" s="156"/>
      <c r="D411" s="156"/>
      <c r="E411" s="156"/>
      <c r="F411" s="156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spans="1:26" ht="15" x14ac:dyDescent="0.25">
      <c r="A412" s="143"/>
      <c r="B412" s="159"/>
      <c r="C412" s="156"/>
      <c r="D412" s="156"/>
      <c r="E412" s="156"/>
      <c r="F412" s="156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spans="1:26" ht="15" x14ac:dyDescent="0.25">
      <c r="A413" s="143"/>
      <c r="B413" s="159"/>
      <c r="C413" s="156"/>
      <c r="D413" s="156"/>
      <c r="E413" s="156"/>
      <c r="F413" s="156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spans="1:26" ht="15" x14ac:dyDescent="0.25">
      <c r="A414" s="143"/>
      <c r="B414" s="159"/>
      <c r="C414" s="156"/>
      <c r="D414" s="156"/>
      <c r="E414" s="156"/>
      <c r="F414" s="156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spans="1:26" ht="15" x14ac:dyDescent="0.25">
      <c r="A415" s="143"/>
      <c r="B415" s="159"/>
      <c r="C415" s="156"/>
      <c r="D415" s="156"/>
      <c r="E415" s="156"/>
      <c r="F415" s="156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spans="1:26" ht="15" x14ac:dyDescent="0.25">
      <c r="A416" s="143"/>
      <c r="B416" s="159"/>
      <c r="C416" s="156"/>
      <c r="D416" s="156"/>
      <c r="E416" s="156"/>
      <c r="F416" s="156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spans="1:26" ht="15" x14ac:dyDescent="0.25">
      <c r="A417" s="143"/>
      <c r="B417" s="159"/>
      <c r="C417" s="156"/>
      <c r="D417" s="156"/>
      <c r="E417" s="156"/>
      <c r="F417" s="156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spans="1:26" ht="15" x14ac:dyDescent="0.25">
      <c r="A418" s="143"/>
      <c r="B418" s="159"/>
      <c r="C418" s="156"/>
      <c r="D418" s="156"/>
      <c r="E418" s="156"/>
      <c r="F418" s="156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spans="1:26" ht="15" x14ac:dyDescent="0.25">
      <c r="A419" s="143"/>
      <c r="B419" s="159"/>
      <c r="C419" s="156"/>
      <c r="D419" s="156"/>
      <c r="E419" s="156"/>
      <c r="F419" s="156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spans="1:26" ht="15" x14ac:dyDescent="0.25">
      <c r="A420" s="143"/>
      <c r="B420" s="159"/>
      <c r="C420" s="156"/>
      <c r="D420" s="156"/>
      <c r="E420" s="156"/>
      <c r="F420" s="156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spans="1:26" ht="15" x14ac:dyDescent="0.25">
      <c r="A421" s="143"/>
      <c r="B421" s="159"/>
      <c r="C421" s="156"/>
      <c r="D421" s="156"/>
      <c r="E421" s="156"/>
      <c r="F421" s="156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spans="1:26" ht="15" x14ac:dyDescent="0.25">
      <c r="A422" s="143"/>
      <c r="B422" s="159"/>
      <c r="C422" s="156"/>
      <c r="D422" s="156"/>
      <c r="E422" s="156"/>
      <c r="F422" s="156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spans="1:26" ht="15" x14ac:dyDescent="0.25">
      <c r="A423" s="143"/>
      <c r="B423" s="159"/>
      <c r="C423" s="156"/>
      <c r="D423" s="156"/>
      <c r="E423" s="156"/>
      <c r="F423" s="156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spans="1:26" ht="15" x14ac:dyDescent="0.25">
      <c r="A424" s="143"/>
      <c r="B424" s="159"/>
      <c r="C424" s="156"/>
      <c r="D424" s="156"/>
      <c r="E424" s="156"/>
      <c r="F424" s="156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spans="1:26" ht="15" x14ac:dyDescent="0.25">
      <c r="A425" s="143"/>
      <c r="B425" s="159"/>
      <c r="C425" s="156"/>
      <c r="D425" s="156"/>
      <c r="E425" s="156"/>
      <c r="F425" s="156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spans="1:26" ht="15" x14ac:dyDescent="0.25">
      <c r="A426" s="143"/>
      <c r="B426" s="159"/>
      <c r="C426" s="156"/>
      <c r="D426" s="156"/>
      <c r="E426" s="156"/>
      <c r="F426" s="156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spans="1:26" ht="15" x14ac:dyDescent="0.25">
      <c r="A427" s="143"/>
      <c r="B427" s="159"/>
      <c r="C427" s="156"/>
      <c r="D427" s="156"/>
      <c r="E427" s="156"/>
      <c r="F427" s="156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spans="1:26" ht="15" x14ac:dyDescent="0.25">
      <c r="A428" s="143"/>
      <c r="B428" s="159"/>
      <c r="C428" s="156"/>
      <c r="D428" s="156"/>
      <c r="E428" s="156"/>
      <c r="F428" s="156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spans="1:26" ht="15" x14ac:dyDescent="0.25">
      <c r="A429" s="143"/>
      <c r="B429" s="159"/>
      <c r="C429" s="156"/>
      <c r="D429" s="156"/>
      <c r="E429" s="156"/>
      <c r="F429" s="156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spans="1:26" ht="15" x14ac:dyDescent="0.25">
      <c r="A430" s="143"/>
      <c r="B430" s="159"/>
      <c r="C430" s="156"/>
      <c r="D430" s="156"/>
      <c r="E430" s="156"/>
      <c r="F430" s="156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spans="1:26" ht="15" x14ac:dyDescent="0.25">
      <c r="A431" s="143"/>
      <c r="B431" s="159"/>
      <c r="C431" s="156"/>
      <c r="D431" s="156"/>
      <c r="E431" s="156"/>
      <c r="F431" s="156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spans="1:26" ht="15" x14ac:dyDescent="0.25">
      <c r="A432" s="143"/>
      <c r="B432" s="159"/>
      <c r="C432" s="156"/>
      <c r="D432" s="156"/>
      <c r="E432" s="156"/>
      <c r="F432" s="156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spans="1:26" ht="15" x14ac:dyDescent="0.25">
      <c r="A433" s="143"/>
      <c r="B433" s="159"/>
      <c r="C433" s="156"/>
      <c r="D433" s="156"/>
      <c r="E433" s="156"/>
      <c r="F433" s="156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spans="1:26" ht="15" x14ac:dyDescent="0.25">
      <c r="A434" s="143"/>
      <c r="B434" s="159"/>
      <c r="C434" s="156"/>
      <c r="D434" s="156"/>
      <c r="E434" s="156"/>
      <c r="F434" s="156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spans="1:26" ht="15" x14ac:dyDescent="0.25">
      <c r="A435" s="143"/>
      <c r="B435" s="159"/>
      <c r="C435" s="156"/>
      <c r="D435" s="156"/>
      <c r="E435" s="156"/>
      <c r="F435" s="156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spans="1:26" ht="15" x14ac:dyDescent="0.25">
      <c r="A436" s="143"/>
      <c r="B436" s="159"/>
      <c r="C436" s="156"/>
      <c r="D436" s="156"/>
      <c r="E436" s="156"/>
      <c r="F436" s="156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spans="1:26" ht="15" x14ac:dyDescent="0.25">
      <c r="A437" s="143"/>
      <c r="B437" s="159"/>
      <c r="C437" s="156"/>
      <c r="D437" s="156"/>
      <c r="E437" s="156"/>
      <c r="F437" s="156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spans="1:26" ht="15" x14ac:dyDescent="0.25">
      <c r="A438" s="143"/>
      <c r="B438" s="159"/>
      <c r="C438" s="156"/>
      <c r="D438" s="156"/>
      <c r="E438" s="156"/>
      <c r="F438" s="156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spans="1:26" ht="15" x14ac:dyDescent="0.25">
      <c r="A439" s="143"/>
      <c r="B439" s="159"/>
      <c r="C439" s="156"/>
      <c r="D439" s="156"/>
      <c r="E439" s="156"/>
      <c r="F439" s="156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spans="1:26" ht="15" x14ac:dyDescent="0.25">
      <c r="A440" s="143"/>
      <c r="B440" s="159"/>
      <c r="C440" s="156"/>
      <c r="D440" s="156"/>
      <c r="E440" s="156"/>
      <c r="F440" s="156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spans="1:26" ht="15" x14ac:dyDescent="0.25">
      <c r="A441" s="143"/>
      <c r="B441" s="159"/>
      <c r="C441" s="156"/>
      <c r="D441" s="156"/>
      <c r="E441" s="156"/>
      <c r="F441" s="156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spans="1:26" ht="15" x14ac:dyDescent="0.25">
      <c r="A442" s="143"/>
      <c r="B442" s="159"/>
      <c r="C442" s="156"/>
      <c r="D442" s="156"/>
      <c r="E442" s="156"/>
      <c r="F442" s="156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spans="1:26" ht="15" x14ac:dyDescent="0.25">
      <c r="A443" s="143"/>
      <c r="B443" s="159"/>
      <c r="C443" s="156"/>
      <c r="D443" s="156"/>
      <c r="E443" s="156"/>
      <c r="F443" s="156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spans="1:26" ht="15" x14ac:dyDescent="0.25">
      <c r="A444" s="143"/>
      <c r="B444" s="159"/>
      <c r="C444" s="156"/>
      <c r="D444" s="156"/>
      <c r="E444" s="156"/>
      <c r="F444" s="156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spans="1:26" ht="15" x14ac:dyDescent="0.25">
      <c r="A445" s="143"/>
      <c r="B445" s="159"/>
      <c r="C445" s="156"/>
      <c r="D445" s="156"/>
      <c r="E445" s="156"/>
      <c r="F445" s="156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spans="1:26" ht="15" x14ac:dyDescent="0.25">
      <c r="A446" s="143"/>
      <c r="B446" s="159"/>
      <c r="C446" s="156"/>
      <c r="D446" s="156"/>
      <c r="E446" s="156"/>
      <c r="F446" s="156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spans="1:26" ht="15" x14ac:dyDescent="0.25">
      <c r="A447" s="143"/>
      <c r="B447" s="159"/>
      <c r="C447" s="156"/>
      <c r="D447" s="156"/>
      <c r="E447" s="156"/>
      <c r="F447" s="156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spans="1:26" ht="15" x14ac:dyDescent="0.25">
      <c r="A448" s="143"/>
      <c r="B448" s="159"/>
      <c r="C448" s="156"/>
      <c r="D448" s="156"/>
      <c r="E448" s="156"/>
      <c r="F448" s="156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spans="1:26" ht="15" x14ac:dyDescent="0.25">
      <c r="A449" s="143"/>
      <c r="B449" s="159"/>
      <c r="C449" s="156"/>
      <c r="D449" s="156"/>
      <c r="E449" s="156"/>
      <c r="F449" s="156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spans="1:26" ht="15" x14ac:dyDescent="0.25">
      <c r="A450" s="143"/>
      <c r="B450" s="159"/>
      <c r="C450" s="156"/>
      <c r="D450" s="156"/>
      <c r="E450" s="156"/>
      <c r="F450" s="156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spans="1:26" ht="15" x14ac:dyDescent="0.25">
      <c r="A451" s="143"/>
      <c r="B451" s="159"/>
      <c r="C451" s="156"/>
      <c r="D451" s="156"/>
      <c r="E451" s="156"/>
      <c r="F451" s="156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spans="1:26" ht="15" x14ac:dyDescent="0.25">
      <c r="A452" s="143"/>
      <c r="B452" s="159"/>
      <c r="C452" s="156"/>
      <c r="D452" s="156"/>
      <c r="E452" s="156"/>
      <c r="F452" s="156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spans="1:26" ht="15" x14ac:dyDescent="0.25">
      <c r="A453" s="143"/>
      <c r="B453" s="159"/>
      <c r="C453" s="156"/>
      <c r="D453" s="156"/>
      <c r="E453" s="156"/>
      <c r="F453" s="156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spans="1:26" ht="15" x14ac:dyDescent="0.25">
      <c r="A454" s="143"/>
      <c r="B454" s="159"/>
      <c r="C454" s="156"/>
      <c r="D454" s="156"/>
      <c r="E454" s="156"/>
      <c r="F454" s="156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spans="1:26" ht="15" x14ac:dyDescent="0.25">
      <c r="A455" s="143"/>
      <c r="B455" s="159"/>
      <c r="C455" s="156"/>
      <c r="D455" s="156"/>
      <c r="E455" s="156"/>
      <c r="F455" s="156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spans="1:26" ht="15" x14ac:dyDescent="0.25">
      <c r="A456" s="143"/>
      <c r="B456" s="159"/>
      <c r="C456" s="156"/>
      <c r="D456" s="156"/>
      <c r="E456" s="156"/>
      <c r="F456" s="156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spans="1:26" ht="15" x14ac:dyDescent="0.25">
      <c r="A457" s="143"/>
      <c r="B457" s="159"/>
      <c r="C457" s="156"/>
      <c r="D457" s="156"/>
      <c r="E457" s="156"/>
      <c r="F457" s="156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spans="1:26" ht="15" x14ac:dyDescent="0.25">
      <c r="A458" s="143"/>
      <c r="B458" s="159"/>
      <c r="C458" s="156"/>
      <c r="D458" s="156"/>
      <c r="E458" s="156"/>
      <c r="F458" s="156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spans="1:26" ht="15" x14ac:dyDescent="0.25">
      <c r="A459" s="143"/>
      <c r="B459" s="159"/>
      <c r="C459" s="156"/>
      <c r="D459" s="156"/>
      <c r="E459" s="156"/>
      <c r="F459" s="156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spans="1:26" ht="15" x14ac:dyDescent="0.25">
      <c r="A460" s="143"/>
      <c r="B460" s="159"/>
      <c r="C460" s="156"/>
      <c r="D460" s="156"/>
      <c r="E460" s="156"/>
      <c r="F460" s="156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spans="1:26" ht="15" x14ac:dyDescent="0.25">
      <c r="A461" s="143"/>
      <c r="B461" s="159"/>
      <c r="C461" s="156"/>
      <c r="D461" s="156"/>
      <c r="E461" s="156"/>
      <c r="F461" s="156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spans="1:26" ht="15" x14ac:dyDescent="0.25">
      <c r="A462" s="143"/>
      <c r="B462" s="159"/>
      <c r="C462" s="156"/>
      <c r="D462" s="156"/>
      <c r="E462" s="156"/>
      <c r="F462" s="156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spans="1:26" ht="15" x14ac:dyDescent="0.25">
      <c r="A463" s="143"/>
      <c r="B463" s="159"/>
      <c r="C463" s="156"/>
      <c r="D463" s="156"/>
      <c r="E463" s="156"/>
      <c r="F463" s="156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spans="1:26" ht="15" x14ac:dyDescent="0.25">
      <c r="A464" s="143"/>
      <c r="B464" s="159"/>
      <c r="C464" s="156"/>
      <c r="D464" s="156"/>
      <c r="E464" s="156"/>
      <c r="F464" s="156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spans="1:26" ht="15" x14ac:dyDescent="0.25">
      <c r="A465" s="143"/>
      <c r="B465" s="159"/>
      <c r="C465" s="156"/>
      <c r="D465" s="156"/>
      <c r="E465" s="156"/>
      <c r="F465" s="156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spans="1:26" ht="15" x14ac:dyDescent="0.25">
      <c r="A466" s="143"/>
      <c r="B466" s="159"/>
      <c r="C466" s="156"/>
      <c r="D466" s="156"/>
      <c r="E466" s="156"/>
      <c r="F466" s="156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spans="1:26" ht="15" x14ac:dyDescent="0.25">
      <c r="A467" s="143"/>
      <c r="B467" s="159"/>
      <c r="C467" s="156"/>
      <c r="D467" s="156"/>
      <c r="E467" s="156"/>
      <c r="F467" s="156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spans="1:26" ht="15" x14ac:dyDescent="0.25">
      <c r="A468" s="143"/>
      <c r="B468" s="159"/>
      <c r="C468" s="156"/>
      <c r="D468" s="156"/>
      <c r="E468" s="156"/>
      <c r="F468" s="156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spans="1:26" ht="15" x14ac:dyDescent="0.25">
      <c r="A469" s="143"/>
      <c r="B469" s="159"/>
      <c r="C469" s="156"/>
      <c r="D469" s="156"/>
      <c r="E469" s="156"/>
      <c r="F469" s="156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spans="1:26" ht="15" x14ac:dyDescent="0.25">
      <c r="A470" s="143"/>
      <c r="B470" s="159"/>
      <c r="C470" s="156"/>
      <c r="D470" s="156"/>
      <c r="E470" s="156"/>
      <c r="F470" s="156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spans="1:26" ht="15" x14ac:dyDescent="0.25">
      <c r="A471" s="143"/>
      <c r="B471" s="159"/>
      <c r="C471" s="156"/>
      <c r="D471" s="156"/>
      <c r="E471" s="156"/>
      <c r="F471" s="156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spans="1:26" ht="15" x14ac:dyDescent="0.25">
      <c r="A472" s="143"/>
      <c r="B472" s="159"/>
      <c r="C472" s="156"/>
      <c r="D472" s="156"/>
      <c r="E472" s="156"/>
      <c r="F472" s="156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spans="1:26" ht="15" x14ac:dyDescent="0.25">
      <c r="A473" s="143"/>
      <c r="B473" s="159"/>
      <c r="C473" s="156"/>
      <c r="D473" s="156"/>
      <c r="E473" s="156"/>
      <c r="F473" s="156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spans="1:26" ht="15" x14ac:dyDescent="0.25">
      <c r="A474" s="143"/>
      <c r="B474" s="159"/>
      <c r="C474" s="156"/>
      <c r="D474" s="156"/>
      <c r="E474" s="156"/>
      <c r="F474" s="156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spans="1:26" ht="15" x14ac:dyDescent="0.25">
      <c r="A475" s="143"/>
      <c r="B475" s="159"/>
      <c r="C475" s="156"/>
      <c r="D475" s="156"/>
      <c r="E475" s="156"/>
      <c r="F475" s="156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spans="1:26" ht="15" x14ac:dyDescent="0.25">
      <c r="A476" s="143"/>
      <c r="B476" s="159"/>
      <c r="C476" s="156"/>
      <c r="D476" s="156"/>
      <c r="E476" s="156"/>
      <c r="F476" s="156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spans="1:26" ht="15" x14ac:dyDescent="0.25">
      <c r="A477" s="143"/>
      <c r="B477" s="159"/>
      <c r="C477" s="156"/>
      <c r="D477" s="156"/>
      <c r="E477" s="156"/>
      <c r="F477" s="156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spans="1:26" ht="15" x14ac:dyDescent="0.25">
      <c r="A478" s="143"/>
      <c r="B478" s="159"/>
      <c r="C478" s="156"/>
      <c r="D478" s="156"/>
      <c r="E478" s="156"/>
      <c r="F478" s="156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spans="1:26" ht="15" x14ac:dyDescent="0.25">
      <c r="A479" s="143"/>
      <c r="B479" s="159"/>
      <c r="C479" s="156"/>
      <c r="D479" s="156"/>
      <c r="E479" s="156"/>
      <c r="F479" s="156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spans="1:26" ht="15" x14ac:dyDescent="0.25">
      <c r="A480" s="143"/>
      <c r="B480" s="159"/>
      <c r="C480" s="156"/>
      <c r="D480" s="156"/>
      <c r="E480" s="156"/>
      <c r="F480" s="156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spans="1:26" ht="15" x14ac:dyDescent="0.25">
      <c r="A481" s="143"/>
      <c r="B481" s="159"/>
      <c r="C481" s="156"/>
      <c r="D481" s="156"/>
      <c r="E481" s="156"/>
      <c r="F481" s="156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spans="1:26" ht="15" x14ac:dyDescent="0.25">
      <c r="A482" s="143"/>
      <c r="B482" s="159"/>
      <c r="C482" s="156"/>
      <c r="D482" s="156"/>
      <c r="E482" s="156"/>
      <c r="F482" s="156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spans="1:26" ht="15" x14ac:dyDescent="0.25">
      <c r="A483" s="143"/>
      <c r="B483" s="159"/>
      <c r="C483" s="156"/>
      <c r="D483" s="156"/>
      <c r="E483" s="156"/>
      <c r="F483" s="156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spans="1:26" ht="15" x14ac:dyDescent="0.25">
      <c r="A484" s="143"/>
      <c r="B484" s="159"/>
      <c r="C484" s="156"/>
      <c r="D484" s="156"/>
      <c r="E484" s="156"/>
      <c r="F484" s="156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spans="1:26" ht="15" x14ac:dyDescent="0.25">
      <c r="A485" s="143"/>
      <c r="B485" s="159"/>
      <c r="C485" s="156"/>
      <c r="D485" s="156"/>
      <c r="E485" s="156"/>
      <c r="F485" s="156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spans="1:26" ht="15" x14ac:dyDescent="0.25">
      <c r="A486" s="143"/>
      <c r="B486" s="159"/>
      <c r="C486" s="156"/>
      <c r="D486" s="156"/>
      <c r="E486" s="156"/>
      <c r="F486" s="156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spans="1:26" ht="15" x14ac:dyDescent="0.25">
      <c r="A487" s="143"/>
      <c r="B487" s="159"/>
      <c r="C487" s="156"/>
      <c r="D487" s="156"/>
      <c r="E487" s="156"/>
      <c r="F487" s="156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spans="1:26" ht="15" x14ac:dyDescent="0.25">
      <c r="A488" s="143"/>
      <c r="B488" s="159"/>
      <c r="C488" s="156"/>
      <c r="D488" s="156"/>
      <c r="E488" s="156"/>
      <c r="F488" s="156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spans="1:26" ht="15" x14ac:dyDescent="0.25">
      <c r="A489" s="143"/>
      <c r="B489" s="159"/>
      <c r="C489" s="156"/>
      <c r="D489" s="156"/>
      <c r="E489" s="156"/>
      <c r="F489" s="156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spans="1:26" ht="15" x14ac:dyDescent="0.25">
      <c r="A490" s="143"/>
      <c r="B490" s="159"/>
      <c r="C490" s="156"/>
      <c r="D490" s="156"/>
      <c r="E490" s="156"/>
      <c r="F490" s="156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spans="1:26" ht="15" x14ac:dyDescent="0.25">
      <c r="A491" s="143"/>
      <c r="B491" s="159"/>
      <c r="C491" s="156"/>
      <c r="D491" s="156"/>
      <c r="E491" s="156"/>
      <c r="F491" s="156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spans="1:26" ht="15" x14ac:dyDescent="0.25">
      <c r="A492" s="143"/>
      <c r="B492" s="159"/>
      <c r="C492" s="156"/>
      <c r="D492" s="156"/>
      <c r="E492" s="156"/>
      <c r="F492" s="156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spans="1:26" ht="15" x14ac:dyDescent="0.25">
      <c r="A493" s="143"/>
      <c r="B493" s="159"/>
      <c r="C493" s="156"/>
      <c r="D493" s="156"/>
      <c r="E493" s="156"/>
      <c r="F493" s="156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spans="1:26" ht="15" x14ac:dyDescent="0.25">
      <c r="A494" s="143"/>
      <c r="B494" s="159"/>
      <c r="C494" s="156"/>
      <c r="D494" s="156"/>
      <c r="E494" s="156"/>
      <c r="F494" s="156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spans="1:26" ht="15" x14ac:dyDescent="0.25">
      <c r="A495" s="143"/>
      <c r="B495" s="159"/>
      <c r="C495" s="156"/>
      <c r="D495" s="156"/>
      <c r="E495" s="156"/>
      <c r="F495" s="156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spans="1:26" ht="15" x14ac:dyDescent="0.25">
      <c r="A496" s="143"/>
      <c r="B496" s="159"/>
      <c r="C496" s="156"/>
      <c r="D496" s="156"/>
      <c r="E496" s="156"/>
      <c r="F496" s="156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spans="1:26" ht="15" x14ac:dyDescent="0.25">
      <c r="A497" s="143"/>
      <c r="B497" s="159"/>
      <c r="C497" s="156"/>
      <c r="D497" s="156"/>
      <c r="E497" s="156"/>
      <c r="F497" s="156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spans="1:26" ht="15" x14ac:dyDescent="0.25">
      <c r="A498" s="143"/>
      <c r="B498" s="159"/>
      <c r="C498" s="156"/>
      <c r="D498" s="156"/>
      <c r="E498" s="156"/>
      <c r="F498" s="156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spans="1:26" ht="15" x14ac:dyDescent="0.25">
      <c r="A499" s="143"/>
      <c r="B499" s="159"/>
      <c r="C499" s="156"/>
      <c r="D499" s="156"/>
      <c r="E499" s="156"/>
      <c r="F499" s="156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spans="1:26" ht="15" x14ac:dyDescent="0.25">
      <c r="A500" s="143"/>
      <c r="B500" s="159"/>
      <c r="C500" s="156"/>
      <c r="D500" s="156"/>
      <c r="E500" s="156"/>
      <c r="F500" s="156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spans="1:26" ht="15" x14ac:dyDescent="0.25">
      <c r="A501" s="143"/>
      <c r="B501" s="159"/>
      <c r="C501" s="156"/>
      <c r="D501" s="156"/>
      <c r="E501" s="156"/>
      <c r="F501" s="156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spans="1:26" ht="15" x14ac:dyDescent="0.25">
      <c r="A502" s="143"/>
      <c r="B502" s="159"/>
      <c r="C502" s="156"/>
      <c r="D502" s="156"/>
      <c r="E502" s="156"/>
      <c r="F502" s="156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spans="1:26" ht="15" x14ac:dyDescent="0.25">
      <c r="A503" s="143"/>
      <c r="B503" s="159"/>
      <c r="C503" s="156"/>
      <c r="D503" s="156"/>
      <c r="E503" s="156"/>
      <c r="F503" s="156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spans="1:26" ht="15" x14ac:dyDescent="0.25">
      <c r="A504" s="143"/>
      <c r="B504" s="159"/>
      <c r="C504" s="156"/>
      <c r="D504" s="156"/>
      <c r="E504" s="156"/>
      <c r="F504" s="156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spans="1:26" ht="15" x14ac:dyDescent="0.25">
      <c r="A505" s="143"/>
      <c r="B505" s="159"/>
      <c r="C505" s="156"/>
      <c r="D505" s="156"/>
      <c r="E505" s="156"/>
      <c r="F505" s="156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spans="1:26" ht="15" x14ac:dyDescent="0.25">
      <c r="A506" s="143"/>
      <c r="B506" s="159"/>
      <c r="C506" s="156"/>
      <c r="D506" s="156"/>
      <c r="E506" s="156"/>
      <c r="F506" s="156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spans="1:26" ht="15" x14ac:dyDescent="0.25">
      <c r="A507" s="143"/>
      <c r="B507" s="159"/>
      <c r="C507" s="156"/>
      <c r="D507" s="156"/>
      <c r="E507" s="156"/>
      <c r="F507" s="156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spans="1:26" ht="15" x14ac:dyDescent="0.25">
      <c r="A508" s="143"/>
      <c r="B508" s="159"/>
      <c r="C508" s="156"/>
      <c r="D508" s="156"/>
      <c r="E508" s="156"/>
      <c r="F508" s="156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spans="1:26" ht="15" x14ac:dyDescent="0.25">
      <c r="A509" s="143"/>
      <c r="B509" s="159"/>
      <c r="C509" s="156"/>
      <c r="D509" s="156"/>
      <c r="E509" s="156"/>
      <c r="F509" s="156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spans="1:26" ht="15" x14ac:dyDescent="0.25">
      <c r="A510" s="143"/>
      <c r="B510" s="159"/>
      <c r="C510" s="156"/>
      <c r="D510" s="156"/>
      <c r="E510" s="156"/>
      <c r="F510" s="156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spans="1:26" ht="15" x14ac:dyDescent="0.25">
      <c r="A511" s="143"/>
      <c r="B511" s="159"/>
      <c r="C511" s="156"/>
      <c r="D511" s="156"/>
      <c r="E511" s="156"/>
      <c r="F511" s="156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spans="1:26" ht="15" x14ac:dyDescent="0.25">
      <c r="A512" s="143"/>
      <c r="B512" s="159"/>
      <c r="C512" s="156"/>
      <c r="D512" s="156"/>
      <c r="E512" s="156"/>
      <c r="F512" s="156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spans="1:26" ht="15" x14ac:dyDescent="0.25">
      <c r="A513" s="143"/>
      <c r="B513" s="159"/>
      <c r="C513" s="156"/>
      <c r="D513" s="156"/>
      <c r="E513" s="156"/>
      <c r="F513" s="156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spans="1:26" ht="15" x14ac:dyDescent="0.25">
      <c r="A514" s="143"/>
      <c r="B514" s="159"/>
      <c r="C514" s="156"/>
      <c r="D514" s="156"/>
      <c r="E514" s="156"/>
      <c r="F514" s="156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spans="1:26" ht="15" x14ac:dyDescent="0.25">
      <c r="A515" s="143"/>
      <c r="B515" s="159"/>
      <c r="C515" s="156"/>
      <c r="D515" s="156"/>
      <c r="E515" s="156"/>
      <c r="F515" s="156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spans="1:26" ht="15" x14ac:dyDescent="0.25">
      <c r="A516" s="143"/>
      <c r="B516" s="159"/>
      <c r="C516" s="156"/>
      <c r="D516" s="156"/>
      <c r="E516" s="156"/>
      <c r="F516" s="156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spans="1:26" ht="15" x14ac:dyDescent="0.25">
      <c r="A517" s="143"/>
      <c r="B517" s="159"/>
      <c r="C517" s="156"/>
      <c r="D517" s="156"/>
      <c r="E517" s="156"/>
      <c r="F517" s="156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spans="1:26" ht="15" x14ac:dyDescent="0.25">
      <c r="A518" s="143"/>
      <c r="B518" s="159"/>
      <c r="C518" s="156"/>
      <c r="D518" s="156"/>
      <c r="E518" s="156"/>
      <c r="F518" s="156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spans="1:26" ht="15" x14ac:dyDescent="0.25">
      <c r="A519" s="143"/>
      <c r="B519" s="159"/>
      <c r="C519" s="156"/>
      <c r="D519" s="156"/>
      <c r="E519" s="156"/>
      <c r="F519" s="156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spans="1:26" ht="15" x14ac:dyDescent="0.25">
      <c r="A520" s="143"/>
      <c r="B520" s="159"/>
      <c r="C520" s="156"/>
      <c r="D520" s="156"/>
      <c r="E520" s="156"/>
      <c r="F520" s="156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spans="1:26" ht="15" x14ac:dyDescent="0.25">
      <c r="A521" s="143"/>
      <c r="B521" s="159"/>
      <c r="C521" s="156"/>
      <c r="D521" s="156"/>
      <c r="E521" s="156"/>
      <c r="F521" s="156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spans="1:26" ht="15" x14ac:dyDescent="0.25">
      <c r="A522" s="143"/>
      <c r="B522" s="159"/>
      <c r="C522" s="156"/>
      <c r="D522" s="156"/>
      <c r="E522" s="156"/>
      <c r="F522" s="156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spans="1:26" ht="15" x14ac:dyDescent="0.25">
      <c r="A523" s="143"/>
      <c r="B523" s="159"/>
      <c r="C523" s="156"/>
      <c r="D523" s="156"/>
      <c r="E523" s="156"/>
      <c r="F523" s="156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spans="1:26" ht="15" x14ac:dyDescent="0.25">
      <c r="A524" s="143"/>
      <c r="B524" s="159"/>
      <c r="C524" s="156"/>
      <c r="D524" s="156"/>
      <c r="E524" s="156"/>
      <c r="F524" s="156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spans="1:26" ht="15" x14ac:dyDescent="0.25">
      <c r="A525" s="143"/>
      <c r="B525" s="159"/>
      <c r="C525" s="156"/>
      <c r="D525" s="156"/>
      <c r="E525" s="156"/>
      <c r="F525" s="156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spans="1:26" ht="15" x14ac:dyDescent="0.25">
      <c r="A526" s="143"/>
      <c r="B526" s="159"/>
      <c r="C526" s="156"/>
      <c r="D526" s="156"/>
      <c r="E526" s="156"/>
      <c r="F526" s="156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spans="1:26" ht="15" x14ac:dyDescent="0.25">
      <c r="A527" s="143"/>
      <c r="B527" s="159"/>
      <c r="C527" s="156"/>
      <c r="D527" s="156"/>
      <c r="E527" s="156"/>
      <c r="F527" s="156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spans="1:26" ht="15" x14ac:dyDescent="0.25">
      <c r="A528" s="143"/>
      <c r="B528" s="159"/>
      <c r="C528" s="156"/>
      <c r="D528" s="156"/>
      <c r="E528" s="156"/>
      <c r="F528" s="156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spans="1:26" ht="15" x14ac:dyDescent="0.25">
      <c r="A529" s="143"/>
      <c r="B529" s="159"/>
      <c r="C529" s="156"/>
      <c r="D529" s="156"/>
      <c r="E529" s="156"/>
      <c r="F529" s="156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spans="1:26" ht="15" x14ac:dyDescent="0.25">
      <c r="A530" s="143"/>
      <c r="B530" s="159"/>
      <c r="C530" s="156"/>
      <c r="D530" s="156"/>
      <c r="E530" s="156"/>
      <c r="F530" s="156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spans="1:26" ht="15" x14ac:dyDescent="0.25">
      <c r="A531" s="143"/>
      <c r="B531" s="159"/>
      <c r="C531" s="156"/>
      <c r="D531" s="156"/>
      <c r="E531" s="156"/>
      <c r="F531" s="156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spans="1:26" ht="15" x14ac:dyDescent="0.25">
      <c r="A532" s="143"/>
      <c r="B532" s="159"/>
      <c r="C532" s="156"/>
      <c r="D532" s="156"/>
      <c r="E532" s="156"/>
      <c r="F532" s="156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spans="1:26" ht="15" x14ac:dyDescent="0.25">
      <c r="A533" s="143"/>
      <c r="B533" s="159"/>
      <c r="C533" s="156"/>
      <c r="D533" s="156"/>
      <c r="E533" s="156"/>
      <c r="F533" s="156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spans="1:26" ht="15" x14ac:dyDescent="0.25">
      <c r="A534" s="143"/>
      <c r="B534" s="159"/>
      <c r="C534" s="156"/>
      <c r="D534" s="156"/>
      <c r="E534" s="156"/>
      <c r="F534" s="156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spans="1:26" ht="15" x14ac:dyDescent="0.25">
      <c r="A535" s="143"/>
      <c r="B535" s="159"/>
      <c r="C535" s="156"/>
      <c r="D535" s="156"/>
      <c r="E535" s="156"/>
      <c r="F535" s="156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spans="1:26" ht="15" x14ac:dyDescent="0.25">
      <c r="A536" s="143"/>
      <c r="B536" s="159"/>
      <c r="C536" s="156"/>
      <c r="D536" s="156"/>
      <c r="E536" s="156"/>
      <c r="F536" s="156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spans="1:26" ht="15" x14ac:dyDescent="0.25">
      <c r="A537" s="143"/>
      <c r="B537" s="159"/>
      <c r="C537" s="156"/>
      <c r="D537" s="156"/>
      <c r="E537" s="156"/>
      <c r="F537" s="156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spans="1:26" ht="15" x14ac:dyDescent="0.25">
      <c r="A538" s="143"/>
      <c r="B538" s="159"/>
      <c r="C538" s="156"/>
      <c r="D538" s="156"/>
      <c r="E538" s="156"/>
      <c r="F538" s="156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spans="1:26" ht="15" x14ac:dyDescent="0.25">
      <c r="A539" s="143"/>
      <c r="B539" s="159"/>
      <c r="C539" s="156"/>
      <c r="D539" s="156"/>
      <c r="E539" s="156"/>
      <c r="F539" s="156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spans="1:26" ht="15" x14ac:dyDescent="0.25">
      <c r="A540" s="143"/>
      <c r="B540" s="159"/>
      <c r="C540" s="156"/>
      <c r="D540" s="156"/>
      <c r="E540" s="156"/>
      <c r="F540" s="156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spans="1:26" ht="15" x14ac:dyDescent="0.25">
      <c r="A541" s="143"/>
      <c r="B541" s="159"/>
      <c r="C541" s="156"/>
      <c r="D541" s="156"/>
      <c r="E541" s="156"/>
      <c r="F541" s="156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spans="1:26" ht="15" x14ac:dyDescent="0.25">
      <c r="A542" s="143"/>
      <c r="B542" s="159"/>
      <c r="C542" s="156"/>
      <c r="D542" s="156"/>
      <c r="E542" s="156"/>
      <c r="F542" s="156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spans="1:26" ht="15" x14ac:dyDescent="0.25">
      <c r="A543" s="143"/>
      <c r="B543" s="159"/>
      <c r="C543" s="156"/>
      <c r="D543" s="156"/>
      <c r="E543" s="156"/>
      <c r="F543" s="156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spans="1:26" ht="15" x14ac:dyDescent="0.25">
      <c r="A544" s="143"/>
      <c r="B544" s="159"/>
      <c r="C544" s="156"/>
      <c r="D544" s="156"/>
      <c r="E544" s="156"/>
      <c r="F544" s="156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spans="1:26" ht="15" x14ac:dyDescent="0.25">
      <c r="A545" s="143"/>
      <c r="B545" s="159"/>
      <c r="C545" s="156"/>
      <c r="D545" s="156"/>
      <c r="E545" s="156"/>
      <c r="F545" s="156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spans="1:26" ht="15" x14ac:dyDescent="0.25">
      <c r="A546" s="143"/>
      <c r="B546" s="159"/>
      <c r="C546" s="156"/>
      <c r="D546" s="156"/>
      <c r="E546" s="156"/>
      <c r="F546" s="156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spans="1:26" ht="15" x14ac:dyDescent="0.25">
      <c r="A547" s="143"/>
      <c r="B547" s="159"/>
      <c r="C547" s="156"/>
      <c r="D547" s="156"/>
      <c r="E547" s="156"/>
      <c r="F547" s="156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spans="1:26" ht="15" x14ac:dyDescent="0.25">
      <c r="A548" s="143"/>
      <c r="B548" s="159"/>
      <c r="C548" s="156"/>
      <c r="D548" s="156"/>
      <c r="E548" s="156"/>
      <c r="F548" s="156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spans="1:26" ht="15" x14ac:dyDescent="0.25">
      <c r="A549" s="143"/>
      <c r="B549" s="159"/>
      <c r="C549" s="156"/>
      <c r="D549" s="156"/>
      <c r="E549" s="156"/>
      <c r="F549" s="156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spans="1:26" ht="15" x14ac:dyDescent="0.25">
      <c r="A550" s="143"/>
      <c r="B550" s="159"/>
      <c r="C550" s="156"/>
      <c r="D550" s="156"/>
      <c r="E550" s="156"/>
      <c r="F550" s="156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spans="1:26" ht="15" x14ac:dyDescent="0.25">
      <c r="A551" s="143"/>
      <c r="B551" s="159"/>
      <c r="C551" s="156"/>
      <c r="D551" s="156"/>
      <c r="E551" s="156"/>
      <c r="F551" s="156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spans="1:26" ht="15" x14ac:dyDescent="0.25">
      <c r="A552" s="143"/>
      <c r="B552" s="159"/>
      <c r="C552" s="156"/>
      <c r="D552" s="156"/>
      <c r="E552" s="156"/>
      <c r="F552" s="156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spans="1:26" ht="15" x14ac:dyDescent="0.25">
      <c r="A553" s="143"/>
      <c r="B553" s="159"/>
      <c r="C553" s="156"/>
      <c r="D553" s="156"/>
      <c r="E553" s="156"/>
      <c r="F553" s="156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spans="1:26" ht="15" x14ac:dyDescent="0.25">
      <c r="A554" s="143"/>
      <c r="B554" s="159"/>
      <c r="C554" s="156"/>
      <c r="D554" s="156"/>
      <c r="E554" s="156"/>
      <c r="F554" s="156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spans="1:26" ht="15" x14ac:dyDescent="0.25">
      <c r="A555" s="143"/>
      <c r="B555" s="159"/>
      <c r="C555" s="156"/>
      <c r="D555" s="156"/>
      <c r="E555" s="156"/>
      <c r="F555" s="156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spans="1:26" ht="15" x14ac:dyDescent="0.25">
      <c r="A556" s="143"/>
      <c r="B556" s="159"/>
      <c r="C556" s="156"/>
      <c r="D556" s="156"/>
      <c r="E556" s="156"/>
      <c r="F556" s="156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spans="1:26" ht="15" x14ac:dyDescent="0.25">
      <c r="A557" s="143"/>
      <c r="B557" s="159"/>
      <c r="C557" s="156"/>
      <c r="D557" s="156"/>
      <c r="E557" s="156"/>
      <c r="F557" s="156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spans="1:26" ht="15" x14ac:dyDescent="0.25">
      <c r="A558" s="143"/>
      <c r="B558" s="159"/>
      <c r="C558" s="156"/>
      <c r="D558" s="156"/>
      <c r="E558" s="156"/>
      <c r="F558" s="156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spans="1:26" ht="15" x14ac:dyDescent="0.25">
      <c r="A559" s="143"/>
      <c r="B559" s="159"/>
      <c r="C559" s="156"/>
      <c r="D559" s="156"/>
      <c r="E559" s="156"/>
      <c r="F559" s="156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spans="1:26" ht="15" x14ac:dyDescent="0.25">
      <c r="A560" s="143"/>
      <c r="B560" s="159"/>
      <c r="C560" s="156"/>
      <c r="D560" s="156"/>
      <c r="E560" s="156"/>
      <c r="F560" s="156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spans="1:26" ht="15" x14ac:dyDescent="0.25">
      <c r="A561" s="143"/>
      <c r="B561" s="159"/>
      <c r="C561" s="156"/>
      <c r="D561" s="156"/>
      <c r="E561" s="156"/>
      <c r="F561" s="156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spans="1:26" ht="15" x14ac:dyDescent="0.25">
      <c r="A562" s="143"/>
      <c r="B562" s="159"/>
      <c r="C562" s="156"/>
      <c r="D562" s="156"/>
      <c r="E562" s="156"/>
      <c r="F562" s="156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spans="1:26" ht="15" x14ac:dyDescent="0.25">
      <c r="A563" s="143"/>
      <c r="B563" s="159"/>
      <c r="C563" s="156"/>
      <c r="D563" s="156"/>
      <c r="E563" s="156"/>
      <c r="F563" s="156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spans="1:26" ht="15" x14ac:dyDescent="0.25">
      <c r="A564" s="143"/>
      <c r="B564" s="159"/>
      <c r="C564" s="156"/>
      <c r="D564" s="156"/>
      <c r="E564" s="156"/>
      <c r="F564" s="156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spans="1:26" ht="15" x14ac:dyDescent="0.25">
      <c r="A565" s="143"/>
      <c r="B565" s="159"/>
      <c r="C565" s="156"/>
      <c r="D565" s="156"/>
      <c r="E565" s="156"/>
      <c r="F565" s="156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spans="1:26" ht="15" x14ac:dyDescent="0.25">
      <c r="A566" s="143"/>
      <c r="B566" s="159"/>
      <c r="C566" s="156"/>
      <c r="D566" s="156"/>
      <c r="E566" s="156"/>
      <c r="F566" s="156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spans="1:26" ht="15" x14ac:dyDescent="0.25">
      <c r="A567" s="143"/>
      <c r="B567" s="159"/>
      <c r="C567" s="156"/>
      <c r="D567" s="156"/>
      <c r="E567" s="156"/>
      <c r="F567" s="156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spans="1:26" ht="15" x14ac:dyDescent="0.25">
      <c r="A568" s="143"/>
      <c r="B568" s="159"/>
      <c r="C568" s="156"/>
      <c r="D568" s="156"/>
      <c r="E568" s="156"/>
      <c r="F568" s="156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spans="1:26" ht="15" x14ac:dyDescent="0.25">
      <c r="A569" s="143"/>
      <c r="B569" s="159"/>
      <c r="C569" s="156"/>
      <c r="D569" s="156"/>
      <c r="E569" s="156"/>
      <c r="F569" s="156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spans="1:26" ht="15" x14ac:dyDescent="0.25">
      <c r="A570" s="143"/>
      <c r="B570" s="159"/>
      <c r="C570" s="156"/>
      <c r="D570" s="156"/>
      <c r="E570" s="156"/>
      <c r="F570" s="156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spans="1:26" ht="15" x14ac:dyDescent="0.25">
      <c r="A571" s="143"/>
      <c r="B571" s="159"/>
      <c r="C571" s="156"/>
      <c r="D571" s="156"/>
      <c r="E571" s="156"/>
      <c r="F571" s="156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spans="1:26" ht="15" x14ac:dyDescent="0.25">
      <c r="A572" s="143"/>
      <c r="B572" s="159"/>
      <c r="C572" s="156"/>
      <c r="D572" s="156"/>
      <c r="E572" s="156"/>
      <c r="F572" s="156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spans="1:26" ht="15" x14ac:dyDescent="0.25">
      <c r="A573" s="143"/>
      <c r="B573" s="159"/>
      <c r="C573" s="156"/>
      <c r="D573" s="156"/>
      <c r="E573" s="156"/>
      <c r="F573" s="156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spans="1:26" ht="15" x14ac:dyDescent="0.25">
      <c r="A574" s="143"/>
      <c r="B574" s="159"/>
      <c r="C574" s="156"/>
      <c r="D574" s="156"/>
      <c r="E574" s="156"/>
      <c r="F574" s="156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spans="1:26" ht="15" x14ac:dyDescent="0.25">
      <c r="A575" s="143"/>
      <c r="B575" s="159"/>
      <c r="C575" s="156"/>
      <c r="D575" s="156"/>
      <c r="E575" s="156"/>
      <c r="F575" s="156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spans="1:26" ht="15" x14ac:dyDescent="0.25">
      <c r="A576" s="143"/>
      <c r="B576" s="159"/>
      <c r="C576" s="156"/>
      <c r="D576" s="156"/>
      <c r="E576" s="156"/>
      <c r="F576" s="156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spans="1:26" ht="15" x14ac:dyDescent="0.25">
      <c r="A577" s="143"/>
      <c r="B577" s="159"/>
      <c r="C577" s="156"/>
      <c r="D577" s="156"/>
      <c r="E577" s="156"/>
      <c r="F577" s="156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spans="1:26" ht="15" x14ac:dyDescent="0.25">
      <c r="A578" s="143"/>
      <c r="B578" s="159"/>
      <c r="C578" s="156"/>
      <c r="D578" s="156"/>
      <c r="E578" s="156"/>
      <c r="F578" s="156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spans="1:26" ht="15" x14ac:dyDescent="0.25">
      <c r="A579" s="143"/>
      <c r="B579" s="159"/>
      <c r="C579" s="156"/>
      <c r="D579" s="156"/>
      <c r="E579" s="156"/>
      <c r="F579" s="156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spans="1:26" ht="15" x14ac:dyDescent="0.25">
      <c r="A580" s="143"/>
      <c r="B580" s="159"/>
      <c r="C580" s="156"/>
      <c r="D580" s="156"/>
      <c r="E580" s="156"/>
      <c r="F580" s="156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spans="1:26" ht="15" x14ac:dyDescent="0.25">
      <c r="A581" s="143"/>
      <c r="B581" s="159"/>
      <c r="C581" s="156"/>
      <c r="D581" s="156"/>
      <c r="E581" s="156"/>
      <c r="F581" s="156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spans="1:26" ht="15" x14ac:dyDescent="0.25">
      <c r="A582" s="143"/>
      <c r="B582" s="159"/>
      <c r="C582" s="156"/>
      <c r="D582" s="156"/>
      <c r="E582" s="156"/>
      <c r="F582" s="156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spans="1:26" ht="15" x14ac:dyDescent="0.25">
      <c r="A583" s="143"/>
      <c r="B583" s="159"/>
      <c r="C583" s="156"/>
      <c r="D583" s="156"/>
      <c r="E583" s="156"/>
      <c r="F583" s="156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spans="1:26" ht="15" x14ac:dyDescent="0.25">
      <c r="A584" s="143"/>
      <c r="B584" s="159"/>
      <c r="C584" s="156"/>
      <c r="D584" s="156"/>
      <c r="E584" s="156"/>
      <c r="F584" s="156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spans="1:26" ht="15" x14ac:dyDescent="0.25">
      <c r="A585" s="143"/>
      <c r="B585" s="159"/>
      <c r="C585" s="156"/>
      <c r="D585" s="156"/>
      <c r="E585" s="156"/>
      <c r="F585" s="156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spans="1:26" ht="15" x14ac:dyDescent="0.25">
      <c r="A586" s="143"/>
      <c r="B586" s="159"/>
      <c r="C586" s="156"/>
      <c r="D586" s="156"/>
      <c r="E586" s="156"/>
      <c r="F586" s="156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spans="1:26" ht="15" x14ac:dyDescent="0.25">
      <c r="A587" s="143"/>
      <c r="B587" s="159"/>
      <c r="C587" s="156"/>
      <c r="D587" s="156"/>
      <c r="E587" s="156"/>
      <c r="F587" s="156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spans="1:26" ht="15" x14ac:dyDescent="0.25">
      <c r="A588" s="143"/>
      <c r="B588" s="159"/>
      <c r="C588" s="156"/>
      <c r="D588" s="156"/>
      <c r="E588" s="156"/>
      <c r="F588" s="156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spans="1:26" ht="15" x14ac:dyDescent="0.25">
      <c r="A589" s="143"/>
      <c r="B589" s="159"/>
      <c r="C589" s="156"/>
      <c r="D589" s="156"/>
      <c r="E589" s="156"/>
      <c r="F589" s="156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spans="1:26" ht="15" x14ac:dyDescent="0.25">
      <c r="A590" s="143"/>
      <c r="B590" s="159"/>
      <c r="C590" s="156"/>
      <c r="D590" s="156"/>
      <c r="E590" s="156"/>
      <c r="F590" s="156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spans="1:26" ht="15" x14ac:dyDescent="0.25">
      <c r="A591" s="143"/>
      <c r="B591" s="159"/>
      <c r="C591" s="156"/>
      <c r="D591" s="156"/>
      <c r="E591" s="156"/>
      <c r="F591" s="156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spans="1:26" ht="15" x14ac:dyDescent="0.25">
      <c r="A592" s="143"/>
      <c r="B592" s="159"/>
      <c r="C592" s="156"/>
      <c r="D592" s="156"/>
      <c r="E592" s="156"/>
      <c r="F592" s="156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spans="1:26" ht="15" x14ac:dyDescent="0.25">
      <c r="A593" s="143"/>
      <c r="B593" s="159"/>
      <c r="C593" s="156"/>
      <c r="D593" s="156"/>
      <c r="E593" s="156"/>
      <c r="F593" s="156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spans="1:26" ht="15" x14ac:dyDescent="0.25">
      <c r="A594" s="143"/>
      <c r="B594" s="159"/>
      <c r="C594" s="156"/>
      <c r="D594" s="156"/>
      <c r="E594" s="156"/>
      <c r="F594" s="156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spans="1:26" ht="15" x14ac:dyDescent="0.25">
      <c r="A595" s="143"/>
      <c r="B595" s="159"/>
      <c r="C595" s="156"/>
      <c r="D595" s="156"/>
      <c r="E595" s="156"/>
      <c r="F595" s="156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spans="1:26" ht="15" x14ac:dyDescent="0.25">
      <c r="A596" s="143"/>
      <c r="B596" s="159"/>
      <c r="C596" s="156"/>
      <c r="D596" s="156"/>
      <c r="E596" s="156"/>
      <c r="F596" s="156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spans="1:26" ht="15" x14ac:dyDescent="0.25">
      <c r="A597" s="143"/>
      <c r="B597" s="159"/>
      <c r="C597" s="156"/>
      <c r="D597" s="156"/>
      <c r="E597" s="156"/>
      <c r="F597" s="156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spans="1:26" ht="15" x14ac:dyDescent="0.25">
      <c r="A598" s="143"/>
      <c r="B598" s="159"/>
      <c r="C598" s="156"/>
      <c r="D598" s="156"/>
      <c r="E598" s="156"/>
      <c r="F598" s="156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spans="1:26" ht="15" x14ac:dyDescent="0.25">
      <c r="A599" s="143"/>
      <c r="B599" s="159"/>
      <c r="C599" s="156"/>
      <c r="D599" s="156"/>
      <c r="E599" s="156"/>
      <c r="F599" s="156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spans="1:26" ht="15" x14ac:dyDescent="0.25">
      <c r="A600" s="143"/>
      <c r="B600" s="159"/>
      <c r="C600" s="156"/>
      <c r="D600" s="156"/>
      <c r="E600" s="156"/>
      <c r="F600" s="156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spans="1:26" ht="15" x14ac:dyDescent="0.25">
      <c r="A601" s="143"/>
      <c r="B601" s="159"/>
      <c r="C601" s="156"/>
      <c r="D601" s="156"/>
      <c r="E601" s="156"/>
      <c r="F601" s="156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spans="1:26" ht="15" x14ac:dyDescent="0.25">
      <c r="A602" s="143"/>
      <c r="B602" s="159"/>
      <c r="C602" s="156"/>
      <c r="D602" s="156"/>
      <c r="E602" s="156"/>
      <c r="F602" s="156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spans="1:26" ht="15" x14ac:dyDescent="0.25">
      <c r="A603" s="143"/>
      <c r="B603" s="159"/>
      <c r="C603" s="156"/>
      <c r="D603" s="156"/>
      <c r="E603" s="156"/>
      <c r="F603" s="156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spans="1:26" ht="15" x14ac:dyDescent="0.25">
      <c r="A604" s="143"/>
      <c r="B604" s="159"/>
      <c r="C604" s="156"/>
      <c r="D604" s="156"/>
      <c r="E604" s="156"/>
      <c r="F604" s="156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spans="1:26" ht="15" x14ac:dyDescent="0.25">
      <c r="A605" s="143"/>
      <c r="B605" s="159"/>
      <c r="C605" s="156"/>
      <c r="D605" s="156"/>
      <c r="E605" s="156"/>
      <c r="F605" s="156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spans="1:26" ht="15" x14ac:dyDescent="0.25">
      <c r="A606" s="143"/>
      <c r="B606" s="159"/>
      <c r="C606" s="156"/>
      <c r="D606" s="156"/>
      <c r="E606" s="156"/>
      <c r="F606" s="156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spans="1:26" ht="15" x14ac:dyDescent="0.25">
      <c r="A607" s="143"/>
      <c r="B607" s="159"/>
      <c r="C607" s="156"/>
      <c r="D607" s="156"/>
      <c r="E607" s="156"/>
      <c r="F607" s="156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spans="1:26" ht="15" x14ac:dyDescent="0.25">
      <c r="A608" s="143"/>
      <c r="B608" s="159"/>
      <c r="C608" s="156"/>
      <c r="D608" s="156"/>
      <c r="E608" s="156"/>
      <c r="F608" s="156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spans="1:26" ht="15" x14ac:dyDescent="0.25">
      <c r="A609" s="143"/>
      <c r="B609" s="159"/>
      <c r="C609" s="156"/>
      <c r="D609" s="156"/>
      <c r="E609" s="156"/>
      <c r="F609" s="156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spans="1:26" ht="15" x14ac:dyDescent="0.25">
      <c r="A610" s="143"/>
      <c r="B610" s="159"/>
      <c r="C610" s="156"/>
      <c r="D610" s="156"/>
      <c r="E610" s="156"/>
      <c r="F610" s="156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spans="1:26" ht="15" x14ac:dyDescent="0.25">
      <c r="A611" s="143"/>
      <c r="B611" s="159"/>
      <c r="C611" s="156"/>
      <c r="D611" s="156"/>
      <c r="E611" s="156"/>
      <c r="F611" s="156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spans="1:26" ht="15" x14ac:dyDescent="0.25">
      <c r="A612" s="143"/>
      <c r="B612" s="159"/>
      <c r="C612" s="156"/>
      <c r="D612" s="156"/>
      <c r="E612" s="156"/>
      <c r="F612" s="156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spans="1:26" ht="15" x14ac:dyDescent="0.25">
      <c r="A613" s="143"/>
      <c r="B613" s="159"/>
      <c r="C613" s="156"/>
      <c r="D613" s="156"/>
      <c r="E613" s="156"/>
      <c r="F613" s="156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spans="1:26" ht="15" x14ac:dyDescent="0.25">
      <c r="A614" s="143"/>
      <c r="B614" s="159"/>
      <c r="C614" s="156"/>
      <c r="D614" s="156"/>
      <c r="E614" s="156"/>
      <c r="F614" s="156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spans="1:26" ht="15" x14ac:dyDescent="0.25">
      <c r="A615" s="143"/>
      <c r="B615" s="159"/>
      <c r="C615" s="156"/>
      <c r="D615" s="156"/>
      <c r="E615" s="156"/>
      <c r="F615" s="156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spans="1:26" ht="15" x14ac:dyDescent="0.25">
      <c r="A616" s="143"/>
      <c r="B616" s="159"/>
      <c r="C616" s="156"/>
      <c r="D616" s="156"/>
      <c r="E616" s="156"/>
      <c r="F616" s="156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spans="1:26" ht="15" x14ac:dyDescent="0.25">
      <c r="A617" s="143"/>
      <c r="B617" s="159"/>
      <c r="C617" s="156"/>
      <c r="D617" s="156"/>
      <c r="E617" s="156"/>
      <c r="F617" s="156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spans="1:26" ht="15" x14ac:dyDescent="0.25">
      <c r="A618" s="143"/>
      <c r="B618" s="159"/>
      <c r="C618" s="156"/>
      <c r="D618" s="156"/>
      <c r="E618" s="156"/>
      <c r="F618" s="156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spans="1:26" ht="15" x14ac:dyDescent="0.25">
      <c r="A619" s="143"/>
      <c r="B619" s="159"/>
      <c r="C619" s="156"/>
      <c r="D619" s="156"/>
      <c r="E619" s="156"/>
      <c r="F619" s="156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spans="1:26" ht="15" x14ac:dyDescent="0.25">
      <c r="A620" s="143"/>
      <c r="B620" s="159"/>
      <c r="C620" s="156"/>
      <c r="D620" s="156"/>
      <c r="E620" s="156"/>
      <c r="F620" s="156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spans="1:26" ht="15" x14ac:dyDescent="0.25">
      <c r="A621" s="143"/>
      <c r="B621" s="159"/>
      <c r="C621" s="156"/>
      <c r="D621" s="156"/>
      <c r="E621" s="156"/>
      <c r="F621" s="156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spans="1:26" ht="15" x14ac:dyDescent="0.25">
      <c r="A622" s="143"/>
      <c r="B622" s="159"/>
      <c r="C622" s="156"/>
      <c r="D622" s="156"/>
      <c r="E622" s="156"/>
      <c r="F622" s="156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spans="1:26" ht="15" x14ac:dyDescent="0.25">
      <c r="A623" s="143"/>
      <c r="B623" s="159"/>
      <c r="C623" s="156"/>
      <c r="D623" s="156"/>
      <c r="E623" s="156"/>
      <c r="F623" s="156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spans="1:26" ht="15" x14ac:dyDescent="0.25">
      <c r="A624" s="143"/>
      <c r="B624" s="159"/>
      <c r="C624" s="156"/>
      <c r="D624" s="156"/>
      <c r="E624" s="156"/>
      <c r="F624" s="156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spans="1:26" ht="15" x14ac:dyDescent="0.25">
      <c r="A625" s="143"/>
      <c r="B625" s="159"/>
      <c r="C625" s="156"/>
      <c r="D625" s="156"/>
      <c r="E625" s="156"/>
      <c r="F625" s="156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spans="1:26" ht="15" x14ac:dyDescent="0.25">
      <c r="A626" s="143"/>
      <c r="B626" s="159"/>
      <c r="C626" s="156"/>
      <c r="D626" s="156"/>
      <c r="E626" s="156"/>
      <c r="F626" s="156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spans="1:26" ht="15" x14ac:dyDescent="0.25">
      <c r="A627" s="143"/>
      <c r="B627" s="159"/>
      <c r="C627" s="156"/>
      <c r="D627" s="156"/>
      <c r="E627" s="156"/>
      <c r="F627" s="156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spans="1:26" ht="15" x14ac:dyDescent="0.25">
      <c r="A628" s="143"/>
      <c r="B628" s="159"/>
      <c r="C628" s="156"/>
      <c r="D628" s="156"/>
      <c r="E628" s="156"/>
      <c r="F628" s="156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spans="1:26" ht="15" x14ac:dyDescent="0.25">
      <c r="A629" s="143"/>
      <c r="B629" s="159"/>
      <c r="C629" s="156"/>
      <c r="D629" s="156"/>
      <c r="E629" s="156"/>
      <c r="F629" s="156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spans="1:26" ht="15" x14ac:dyDescent="0.25">
      <c r="A630" s="143"/>
      <c r="B630" s="159"/>
      <c r="C630" s="156"/>
      <c r="D630" s="156"/>
      <c r="E630" s="156"/>
      <c r="F630" s="156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spans="1:26" ht="15" x14ac:dyDescent="0.25">
      <c r="A631" s="143"/>
      <c r="B631" s="159"/>
      <c r="C631" s="156"/>
      <c r="D631" s="156"/>
      <c r="E631" s="156"/>
      <c r="F631" s="156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spans="1:26" ht="15" x14ac:dyDescent="0.25">
      <c r="A632" s="143"/>
      <c r="B632" s="159"/>
      <c r="C632" s="156"/>
      <c r="D632" s="156"/>
      <c r="E632" s="156"/>
      <c r="F632" s="156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spans="1:26" ht="15" x14ac:dyDescent="0.25">
      <c r="A633" s="143"/>
      <c r="B633" s="159"/>
      <c r="C633" s="156"/>
      <c r="D633" s="156"/>
      <c r="E633" s="156"/>
      <c r="F633" s="156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spans="1:26" ht="15" x14ac:dyDescent="0.25">
      <c r="A634" s="143"/>
      <c r="B634" s="159"/>
      <c r="C634" s="156"/>
      <c r="D634" s="156"/>
      <c r="E634" s="156"/>
      <c r="F634" s="156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spans="1:26" ht="15" x14ac:dyDescent="0.25">
      <c r="A635" s="143"/>
      <c r="B635" s="159"/>
      <c r="C635" s="156"/>
      <c r="D635" s="156"/>
      <c r="E635" s="156"/>
      <c r="F635" s="156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spans="1:26" ht="15" x14ac:dyDescent="0.25">
      <c r="A636" s="143"/>
      <c r="B636" s="159"/>
      <c r="C636" s="156"/>
      <c r="D636" s="156"/>
      <c r="E636" s="156"/>
      <c r="F636" s="156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spans="1:26" ht="15" x14ac:dyDescent="0.25">
      <c r="A637" s="143"/>
      <c r="B637" s="159"/>
      <c r="C637" s="156"/>
      <c r="D637" s="156"/>
      <c r="E637" s="156"/>
      <c r="F637" s="156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spans="1:26" ht="15" x14ac:dyDescent="0.25">
      <c r="A638" s="143"/>
      <c r="B638" s="159"/>
      <c r="C638" s="156"/>
      <c r="D638" s="156"/>
      <c r="E638" s="156"/>
      <c r="F638" s="156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spans="1:26" ht="15" x14ac:dyDescent="0.25">
      <c r="A639" s="143"/>
      <c r="B639" s="159"/>
      <c r="C639" s="156"/>
      <c r="D639" s="156"/>
      <c r="E639" s="156"/>
      <c r="F639" s="156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spans="1:26" ht="15" x14ac:dyDescent="0.25">
      <c r="A640" s="143"/>
      <c r="B640" s="159"/>
      <c r="C640" s="156"/>
      <c r="D640" s="156"/>
      <c r="E640" s="156"/>
      <c r="F640" s="156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spans="1:26" ht="15" x14ac:dyDescent="0.25">
      <c r="A641" s="143"/>
      <c r="B641" s="159"/>
      <c r="C641" s="156"/>
      <c r="D641" s="156"/>
      <c r="E641" s="156"/>
      <c r="F641" s="156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spans="1:26" ht="15" x14ac:dyDescent="0.25">
      <c r="A642" s="143"/>
      <c r="B642" s="159"/>
      <c r="C642" s="156"/>
      <c r="D642" s="156"/>
      <c r="E642" s="156"/>
      <c r="F642" s="156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spans="1:26" ht="15" x14ac:dyDescent="0.25">
      <c r="A643" s="143"/>
      <c r="B643" s="159"/>
      <c r="C643" s="156"/>
      <c r="D643" s="156"/>
      <c r="E643" s="156"/>
      <c r="F643" s="156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spans="1:26" ht="15" x14ac:dyDescent="0.25">
      <c r="A644" s="143"/>
      <c r="B644" s="159"/>
      <c r="C644" s="156"/>
      <c r="D644" s="156"/>
      <c r="E644" s="156"/>
      <c r="F644" s="156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spans="1:26" ht="15" x14ac:dyDescent="0.25">
      <c r="A645" s="143"/>
      <c r="B645" s="159"/>
      <c r="C645" s="156"/>
      <c r="D645" s="156"/>
      <c r="E645" s="156"/>
      <c r="F645" s="156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spans="1:26" ht="15" x14ac:dyDescent="0.25">
      <c r="A646" s="143"/>
      <c r="B646" s="159"/>
      <c r="C646" s="156"/>
      <c r="D646" s="156"/>
      <c r="E646" s="156"/>
      <c r="F646" s="156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spans="1:26" ht="15" x14ac:dyDescent="0.25">
      <c r="A647" s="143"/>
      <c r="B647" s="159"/>
      <c r="C647" s="156"/>
      <c r="D647" s="156"/>
      <c r="E647" s="156"/>
      <c r="F647" s="156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spans="1:26" ht="15" x14ac:dyDescent="0.25">
      <c r="A648" s="143"/>
      <c r="B648" s="159"/>
      <c r="C648" s="156"/>
      <c r="D648" s="156"/>
      <c r="E648" s="156"/>
      <c r="F648" s="156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spans="1:26" ht="15" x14ac:dyDescent="0.25">
      <c r="A649" s="143"/>
      <c r="B649" s="159"/>
      <c r="C649" s="156"/>
      <c r="D649" s="156"/>
      <c r="E649" s="156"/>
      <c r="F649" s="156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spans="1:26" ht="15" x14ac:dyDescent="0.25">
      <c r="A650" s="143"/>
      <c r="B650" s="159"/>
      <c r="C650" s="156"/>
      <c r="D650" s="156"/>
      <c r="E650" s="156"/>
      <c r="F650" s="156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spans="1:26" ht="15" x14ac:dyDescent="0.25">
      <c r="A651" s="143"/>
      <c r="B651" s="159"/>
      <c r="C651" s="156"/>
      <c r="D651" s="156"/>
      <c r="E651" s="156"/>
      <c r="F651" s="156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spans="1:26" ht="15" x14ac:dyDescent="0.25">
      <c r="A652" s="143"/>
      <c r="B652" s="159"/>
      <c r="C652" s="156"/>
      <c r="D652" s="156"/>
      <c r="E652" s="156"/>
      <c r="F652" s="156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spans="1:26" ht="15" x14ac:dyDescent="0.25">
      <c r="A653" s="143"/>
      <c r="B653" s="159"/>
      <c r="C653" s="156"/>
      <c r="D653" s="156"/>
      <c r="E653" s="156"/>
      <c r="F653" s="156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spans="1:26" ht="15" x14ac:dyDescent="0.25">
      <c r="A654" s="143"/>
      <c r="B654" s="159"/>
      <c r="C654" s="156"/>
      <c r="D654" s="156"/>
      <c r="E654" s="156"/>
      <c r="F654" s="156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spans="1:26" ht="15" x14ac:dyDescent="0.25">
      <c r="A655" s="143"/>
      <c r="B655" s="159"/>
      <c r="C655" s="156"/>
      <c r="D655" s="156"/>
      <c r="E655" s="156"/>
      <c r="F655" s="156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spans="1:26" ht="15" x14ac:dyDescent="0.25">
      <c r="A656" s="143"/>
      <c r="B656" s="159"/>
      <c r="C656" s="156"/>
      <c r="D656" s="156"/>
      <c r="E656" s="156"/>
      <c r="F656" s="156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spans="1:26" ht="15" x14ac:dyDescent="0.25">
      <c r="A657" s="143"/>
      <c r="B657" s="159"/>
      <c r="C657" s="156"/>
      <c r="D657" s="156"/>
      <c r="E657" s="156"/>
      <c r="F657" s="156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spans="1:26" ht="15" x14ac:dyDescent="0.25">
      <c r="A658" s="143"/>
      <c r="B658" s="159"/>
      <c r="C658" s="156"/>
      <c r="D658" s="156"/>
      <c r="E658" s="156"/>
      <c r="F658" s="156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spans="1:26" ht="15" x14ac:dyDescent="0.25">
      <c r="A659" s="143"/>
      <c r="B659" s="159"/>
      <c r="C659" s="156"/>
      <c r="D659" s="156"/>
      <c r="E659" s="156"/>
      <c r="F659" s="156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spans="1:26" ht="15" x14ac:dyDescent="0.25">
      <c r="A660" s="143"/>
      <c r="B660" s="159"/>
      <c r="C660" s="156"/>
      <c r="D660" s="156"/>
      <c r="E660" s="156"/>
      <c r="F660" s="156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spans="1:26" ht="15" x14ac:dyDescent="0.25">
      <c r="A661" s="143"/>
      <c r="B661" s="159"/>
      <c r="C661" s="156"/>
      <c r="D661" s="156"/>
      <c r="E661" s="156"/>
      <c r="F661" s="156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spans="1:26" ht="15" x14ac:dyDescent="0.25">
      <c r="A662" s="143"/>
      <c r="B662" s="159"/>
      <c r="C662" s="156"/>
      <c r="D662" s="156"/>
      <c r="E662" s="156"/>
      <c r="F662" s="156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spans="1:26" ht="15" x14ac:dyDescent="0.25">
      <c r="A663" s="143"/>
      <c r="B663" s="159"/>
      <c r="C663" s="156"/>
      <c r="D663" s="156"/>
      <c r="E663" s="156"/>
      <c r="F663" s="156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spans="1:26" ht="15" x14ac:dyDescent="0.25">
      <c r="A664" s="143"/>
      <c r="B664" s="159"/>
      <c r="C664" s="156"/>
      <c r="D664" s="156"/>
      <c r="E664" s="156"/>
      <c r="F664" s="156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spans="1:26" ht="15" x14ac:dyDescent="0.25">
      <c r="A665" s="143"/>
      <c r="B665" s="159"/>
      <c r="C665" s="156"/>
      <c r="D665" s="156"/>
      <c r="E665" s="156"/>
      <c r="F665" s="156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spans="1:26" ht="15" x14ac:dyDescent="0.25">
      <c r="A666" s="143"/>
      <c r="B666" s="159"/>
      <c r="C666" s="156"/>
      <c r="D666" s="156"/>
      <c r="E666" s="156"/>
      <c r="F666" s="156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spans="1:26" ht="15" x14ac:dyDescent="0.25">
      <c r="A667" s="143"/>
      <c r="B667" s="159"/>
      <c r="C667" s="156"/>
      <c r="D667" s="156"/>
      <c r="E667" s="156"/>
      <c r="F667" s="156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spans="1:26" ht="15" x14ac:dyDescent="0.25">
      <c r="A668" s="143"/>
      <c r="B668" s="159"/>
      <c r="C668" s="156"/>
      <c r="D668" s="156"/>
      <c r="E668" s="156"/>
      <c r="F668" s="156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spans="1:26" ht="15" x14ac:dyDescent="0.25">
      <c r="A669" s="143"/>
      <c r="B669" s="159"/>
      <c r="C669" s="156"/>
      <c r="D669" s="156"/>
      <c r="E669" s="156"/>
      <c r="F669" s="156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spans="1:26" ht="15" x14ac:dyDescent="0.25">
      <c r="A670" s="143"/>
      <c r="B670" s="159"/>
      <c r="C670" s="156"/>
      <c r="D670" s="156"/>
      <c r="E670" s="156"/>
      <c r="F670" s="156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spans="1:26" ht="15" x14ac:dyDescent="0.25">
      <c r="A671" s="143"/>
      <c r="B671" s="159"/>
      <c r="C671" s="156"/>
      <c r="D671" s="156"/>
      <c r="E671" s="156"/>
      <c r="F671" s="156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spans="1:26" ht="15" x14ac:dyDescent="0.25">
      <c r="A672" s="143"/>
      <c r="B672" s="159"/>
      <c r="C672" s="156"/>
      <c r="D672" s="156"/>
      <c r="E672" s="156"/>
      <c r="F672" s="156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spans="1:26" ht="15" x14ac:dyDescent="0.25">
      <c r="A673" s="143"/>
      <c r="B673" s="159"/>
      <c r="C673" s="156"/>
      <c r="D673" s="156"/>
      <c r="E673" s="156"/>
      <c r="F673" s="156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spans="1:26" ht="15" x14ac:dyDescent="0.25">
      <c r="A674" s="143"/>
      <c r="B674" s="159"/>
      <c r="C674" s="156"/>
      <c r="D674" s="156"/>
      <c r="E674" s="156"/>
      <c r="F674" s="156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spans="1:26" ht="15" x14ac:dyDescent="0.25">
      <c r="A675" s="143"/>
      <c r="B675" s="159"/>
      <c r="C675" s="156"/>
      <c r="D675" s="156"/>
      <c r="E675" s="156"/>
      <c r="F675" s="156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spans="1:26" ht="15" x14ac:dyDescent="0.25">
      <c r="A676" s="143"/>
      <c r="B676" s="159"/>
      <c r="C676" s="156"/>
      <c r="D676" s="156"/>
      <c r="E676" s="156"/>
      <c r="F676" s="156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spans="1:26" ht="15" x14ac:dyDescent="0.25">
      <c r="A677" s="143"/>
      <c r="B677" s="159"/>
      <c r="C677" s="156"/>
      <c r="D677" s="156"/>
      <c r="E677" s="156"/>
      <c r="F677" s="156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spans="1:26" ht="15" x14ac:dyDescent="0.25">
      <c r="A678" s="143"/>
      <c r="B678" s="159"/>
      <c r="C678" s="156"/>
      <c r="D678" s="156"/>
      <c r="E678" s="156"/>
      <c r="F678" s="156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spans="1:26" ht="15" x14ac:dyDescent="0.25">
      <c r="A679" s="143"/>
      <c r="B679" s="159"/>
      <c r="C679" s="156"/>
      <c r="D679" s="156"/>
      <c r="E679" s="156"/>
      <c r="F679" s="156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spans="1:26" ht="15" x14ac:dyDescent="0.25">
      <c r="A680" s="143"/>
      <c r="B680" s="159"/>
      <c r="C680" s="156"/>
      <c r="D680" s="156"/>
      <c r="E680" s="156"/>
      <c r="F680" s="156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spans="1:26" ht="15" x14ac:dyDescent="0.25">
      <c r="A681" s="143"/>
      <c r="B681" s="159"/>
      <c r="C681" s="156"/>
      <c r="D681" s="156"/>
      <c r="E681" s="156"/>
      <c r="F681" s="156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spans="1:26" ht="15" x14ac:dyDescent="0.25">
      <c r="A682" s="143"/>
      <c r="B682" s="159"/>
      <c r="C682" s="156"/>
      <c r="D682" s="156"/>
      <c r="E682" s="156"/>
      <c r="F682" s="156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spans="1:26" ht="15" x14ac:dyDescent="0.25">
      <c r="A683" s="143"/>
      <c r="B683" s="159"/>
      <c r="C683" s="156"/>
      <c r="D683" s="156"/>
      <c r="E683" s="156"/>
      <c r="F683" s="156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spans="1:26" ht="15" x14ac:dyDescent="0.25">
      <c r="A684" s="143"/>
      <c r="B684" s="159"/>
      <c r="C684" s="156"/>
      <c r="D684" s="156"/>
      <c r="E684" s="156"/>
      <c r="F684" s="156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spans="1:26" ht="15" x14ac:dyDescent="0.25">
      <c r="A685" s="143"/>
      <c r="B685" s="159"/>
      <c r="C685" s="156"/>
      <c r="D685" s="156"/>
      <c r="E685" s="156"/>
      <c r="F685" s="156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spans="1:26" ht="15" x14ac:dyDescent="0.25">
      <c r="A686" s="143"/>
      <c r="B686" s="159"/>
      <c r="C686" s="156"/>
      <c r="D686" s="156"/>
      <c r="E686" s="156"/>
      <c r="F686" s="156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spans="1:26" ht="15" x14ac:dyDescent="0.25">
      <c r="A687" s="143"/>
      <c r="B687" s="159"/>
      <c r="C687" s="156"/>
      <c r="D687" s="156"/>
      <c r="E687" s="156"/>
      <c r="F687" s="156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spans="1:26" ht="15" x14ac:dyDescent="0.25">
      <c r="A688" s="143"/>
      <c r="B688" s="159"/>
      <c r="C688" s="156"/>
      <c r="D688" s="156"/>
      <c r="E688" s="156"/>
      <c r="F688" s="156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spans="1:26" ht="15" x14ac:dyDescent="0.25">
      <c r="A689" s="143"/>
      <c r="B689" s="159"/>
      <c r="C689" s="156"/>
      <c r="D689" s="156"/>
      <c r="E689" s="156"/>
      <c r="F689" s="156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spans="1:26" ht="15" x14ac:dyDescent="0.25">
      <c r="A690" s="143"/>
      <c r="B690" s="159"/>
      <c r="C690" s="156"/>
      <c r="D690" s="156"/>
      <c r="E690" s="156"/>
      <c r="F690" s="156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spans="1:26" ht="15" x14ac:dyDescent="0.25">
      <c r="A691" s="143"/>
      <c r="B691" s="159"/>
      <c r="C691" s="156"/>
      <c r="D691" s="156"/>
      <c r="E691" s="156"/>
      <c r="F691" s="156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spans="1:26" ht="15" x14ac:dyDescent="0.25">
      <c r="A692" s="143"/>
      <c r="B692" s="159"/>
      <c r="C692" s="156"/>
      <c r="D692" s="156"/>
      <c r="E692" s="156"/>
      <c r="F692" s="156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spans="1:26" ht="15" x14ac:dyDescent="0.25">
      <c r="A693" s="143"/>
      <c r="B693" s="159"/>
      <c r="C693" s="156"/>
      <c r="D693" s="156"/>
      <c r="E693" s="156"/>
      <c r="F693" s="156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spans="1:26" ht="15" x14ac:dyDescent="0.25">
      <c r="A694" s="143"/>
      <c r="B694" s="159"/>
      <c r="C694" s="156"/>
      <c r="D694" s="156"/>
      <c r="E694" s="156"/>
      <c r="F694" s="156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spans="1:26" ht="15" x14ac:dyDescent="0.25">
      <c r="A695" s="143"/>
      <c r="B695" s="159"/>
      <c r="C695" s="156"/>
      <c r="D695" s="156"/>
      <c r="E695" s="156"/>
      <c r="F695" s="156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spans="1:26" ht="15" x14ac:dyDescent="0.25">
      <c r="A696" s="143"/>
      <c r="B696" s="159"/>
      <c r="C696" s="156"/>
      <c r="D696" s="156"/>
      <c r="E696" s="156"/>
      <c r="F696" s="156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spans="1:26" ht="15" x14ac:dyDescent="0.25">
      <c r="A697" s="143"/>
      <c r="B697" s="159"/>
      <c r="C697" s="156"/>
      <c r="D697" s="156"/>
      <c r="E697" s="156"/>
      <c r="F697" s="156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spans="1:26" ht="15" x14ac:dyDescent="0.25">
      <c r="A698" s="143"/>
      <c r="B698" s="159"/>
      <c r="C698" s="156"/>
      <c r="D698" s="156"/>
      <c r="E698" s="156"/>
      <c r="F698" s="156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spans="1:26" ht="15" x14ac:dyDescent="0.25">
      <c r="A699" s="143"/>
      <c r="B699" s="159"/>
      <c r="C699" s="156"/>
      <c r="D699" s="156"/>
      <c r="E699" s="156"/>
      <c r="F699" s="156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spans="1:26" ht="15" x14ac:dyDescent="0.25">
      <c r="A700" s="143"/>
      <c r="B700" s="159"/>
      <c r="C700" s="156"/>
      <c r="D700" s="156"/>
      <c r="E700" s="156"/>
      <c r="F700" s="156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spans="1:26" ht="15" x14ac:dyDescent="0.25">
      <c r="A701" s="143"/>
      <c r="B701" s="159"/>
      <c r="C701" s="156"/>
      <c r="D701" s="156"/>
      <c r="E701" s="156"/>
      <c r="F701" s="156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spans="1:26" ht="15" x14ac:dyDescent="0.25">
      <c r="A702" s="143"/>
      <c r="B702" s="159"/>
      <c r="C702" s="156"/>
      <c r="D702" s="156"/>
      <c r="E702" s="156"/>
      <c r="F702" s="156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spans="1:26" ht="15" x14ac:dyDescent="0.25">
      <c r="A703" s="143"/>
      <c r="B703" s="159"/>
      <c r="C703" s="156"/>
      <c r="D703" s="156"/>
      <c r="E703" s="156"/>
      <c r="F703" s="156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spans="1:26" ht="15" x14ac:dyDescent="0.25">
      <c r="A704" s="143"/>
      <c r="B704" s="159"/>
      <c r="C704" s="156"/>
      <c r="D704" s="156"/>
      <c r="E704" s="156"/>
      <c r="F704" s="156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spans="1:26" ht="15" x14ac:dyDescent="0.25">
      <c r="A705" s="143"/>
      <c r="B705" s="159"/>
      <c r="C705" s="156"/>
      <c r="D705" s="156"/>
      <c r="E705" s="156"/>
      <c r="F705" s="156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spans="1:26" ht="15" x14ac:dyDescent="0.25">
      <c r="A706" s="143"/>
      <c r="B706" s="159"/>
      <c r="C706" s="156"/>
      <c r="D706" s="156"/>
      <c r="E706" s="156"/>
      <c r="F706" s="156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spans="1:26" ht="15" x14ac:dyDescent="0.25">
      <c r="A707" s="143"/>
      <c r="B707" s="159"/>
      <c r="C707" s="156"/>
      <c r="D707" s="156"/>
      <c r="E707" s="156"/>
      <c r="F707" s="156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spans="1:26" ht="15" x14ac:dyDescent="0.25">
      <c r="A708" s="143"/>
      <c r="B708" s="159"/>
      <c r="C708" s="156"/>
      <c r="D708" s="156"/>
      <c r="E708" s="156"/>
      <c r="F708" s="156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spans="1:26" ht="15" x14ac:dyDescent="0.25">
      <c r="A709" s="143"/>
      <c r="B709" s="159"/>
      <c r="C709" s="156"/>
      <c r="D709" s="156"/>
      <c r="E709" s="156"/>
      <c r="F709" s="156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spans="1:26" ht="15" x14ac:dyDescent="0.25">
      <c r="A710" s="143"/>
      <c r="B710" s="159"/>
      <c r="C710" s="156"/>
      <c r="D710" s="156"/>
      <c r="E710" s="156"/>
      <c r="F710" s="156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spans="1:26" ht="15" x14ac:dyDescent="0.25">
      <c r="A711" s="143"/>
      <c r="B711" s="159"/>
      <c r="C711" s="156"/>
      <c r="D711" s="156"/>
      <c r="E711" s="156"/>
      <c r="F711" s="156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spans="1:26" ht="15" x14ac:dyDescent="0.25">
      <c r="A712" s="143"/>
      <c r="B712" s="159"/>
      <c r="C712" s="156"/>
      <c r="D712" s="156"/>
      <c r="E712" s="156"/>
      <c r="F712" s="156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spans="1:26" ht="15" x14ac:dyDescent="0.25">
      <c r="A713" s="143"/>
      <c r="B713" s="159"/>
      <c r="C713" s="156"/>
      <c r="D713" s="156"/>
      <c r="E713" s="156"/>
      <c r="F713" s="156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spans="1:26" ht="15" x14ac:dyDescent="0.25">
      <c r="A714" s="143"/>
      <c r="B714" s="159"/>
      <c r="C714" s="156"/>
      <c r="D714" s="156"/>
      <c r="E714" s="156"/>
      <c r="F714" s="156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spans="1:26" ht="15" x14ac:dyDescent="0.25">
      <c r="A715" s="143"/>
      <c r="B715" s="159"/>
      <c r="C715" s="156"/>
      <c r="D715" s="156"/>
      <c r="E715" s="156"/>
      <c r="F715" s="156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spans="1:26" ht="15" x14ac:dyDescent="0.25">
      <c r="A716" s="143"/>
      <c r="B716" s="159"/>
      <c r="C716" s="156"/>
      <c r="D716" s="156"/>
      <c r="E716" s="156"/>
      <c r="F716" s="156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spans="1:26" ht="15" x14ac:dyDescent="0.25">
      <c r="A717" s="143"/>
      <c r="B717" s="159"/>
      <c r="C717" s="156"/>
      <c r="D717" s="156"/>
      <c r="E717" s="156"/>
      <c r="F717" s="156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spans="1:26" ht="15" x14ac:dyDescent="0.25">
      <c r="A718" s="143"/>
      <c r="B718" s="159"/>
      <c r="C718" s="156"/>
      <c r="D718" s="156"/>
      <c r="E718" s="156"/>
      <c r="F718" s="156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spans="1:26" ht="15" x14ac:dyDescent="0.25">
      <c r="A719" s="143"/>
      <c r="B719" s="159"/>
      <c r="C719" s="156"/>
      <c r="D719" s="156"/>
      <c r="E719" s="156"/>
      <c r="F719" s="156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spans="1:26" ht="15" x14ac:dyDescent="0.25">
      <c r="A720" s="143"/>
      <c r="B720" s="159"/>
      <c r="C720" s="156"/>
      <c r="D720" s="156"/>
      <c r="E720" s="156"/>
      <c r="F720" s="156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spans="1:26" ht="15" x14ac:dyDescent="0.25">
      <c r="A721" s="143"/>
      <c r="B721" s="159"/>
      <c r="C721" s="156"/>
      <c r="D721" s="156"/>
      <c r="E721" s="156"/>
      <c r="F721" s="156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spans="1:26" ht="15" x14ac:dyDescent="0.25">
      <c r="A722" s="143"/>
      <c r="B722" s="159"/>
      <c r="C722" s="156"/>
      <c r="D722" s="156"/>
      <c r="E722" s="156"/>
      <c r="F722" s="156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spans="1:26" ht="15" x14ac:dyDescent="0.25">
      <c r="A723" s="143"/>
      <c r="B723" s="159"/>
      <c r="C723" s="156"/>
      <c r="D723" s="156"/>
      <c r="E723" s="156"/>
      <c r="F723" s="156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spans="1:26" ht="15" x14ac:dyDescent="0.25">
      <c r="A724" s="143"/>
      <c r="B724" s="159"/>
      <c r="C724" s="156"/>
      <c r="D724" s="156"/>
      <c r="E724" s="156"/>
      <c r="F724" s="156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spans="1:26" ht="15" x14ac:dyDescent="0.25">
      <c r="A725" s="143"/>
      <c r="B725" s="159"/>
      <c r="C725" s="156"/>
      <c r="D725" s="156"/>
      <c r="E725" s="156"/>
      <c r="F725" s="156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spans="1:26" ht="15" x14ac:dyDescent="0.25">
      <c r="A726" s="143"/>
      <c r="B726" s="159"/>
      <c r="C726" s="156"/>
      <c r="D726" s="156"/>
      <c r="E726" s="156"/>
      <c r="F726" s="156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spans="1:26" ht="15" x14ac:dyDescent="0.25">
      <c r="A727" s="143"/>
      <c r="B727" s="159"/>
      <c r="C727" s="156"/>
      <c r="D727" s="156"/>
      <c r="E727" s="156"/>
      <c r="F727" s="156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spans="1:26" ht="15" x14ac:dyDescent="0.25">
      <c r="A728" s="143"/>
      <c r="B728" s="159"/>
      <c r="C728" s="156"/>
      <c r="D728" s="156"/>
      <c r="E728" s="156"/>
      <c r="F728" s="156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spans="1:26" ht="15" x14ac:dyDescent="0.25">
      <c r="A729" s="143"/>
      <c r="B729" s="159"/>
      <c r="C729" s="156"/>
      <c r="D729" s="156"/>
      <c r="E729" s="156"/>
      <c r="F729" s="156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spans="1:26" ht="15" x14ac:dyDescent="0.25">
      <c r="A730" s="143"/>
      <c r="B730" s="159"/>
      <c r="C730" s="156"/>
      <c r="D730" s="156"/>
      <c r="E730" s="156"/>
      <c r="F730" s="156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spans="1:26" ht="15" x14ac:dyDescent="0.25">
      <c r="A731" s="143"/>
      <c r="B731" s="159"/>
      <c r="C731" s="156"/>
      <c r="D731" s="156"/>
      <c r="E731" s="156"/>
      <c r="F731" s="156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spans="1:26" ht="15" x14ac:dyDescent="0.25">
      <c r="A732" s="143"/>
      <c r="B732" s="159"/>
      <c r="C732" s="156"/>
      <c r="D732" s="156"/>
      <c r="E732" s="156"/>
      <c r="F732" s="156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spans="1:26" ht="15" x14ac:dyDescent="0.25">
      <c r="A733" s="143"/>
      <c r="B733" s="159"/>
      <c r="C733" s="156"/>
      <c r="D733" s="156"/>
      <c r="E733" s="156"/>
      <c r="F733" s="156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spans="1:26" ht="15" x14ac:dyDescent="0.25">
      <c r="A734" s="143"/>
      <c r="B734" s="159"/>
      <c r="C734" s="156"/>
      <c r="D734" s="156"/>
      <c r="E734" s="156"/>
      <c r="F734" s="156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spans="1:26" ht="15" x14ac:dyDescent="0.25">
      <c r="A735" s="143"/>
      <c r="B735" s="159"/>
      <c r="C735" s="156"/>
      <c r="D735" s="156"/>
      <c r="E735" s="156"/>
      <c r="F735" s="156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spans="1:26" ht="15" x14ac:dyDescent="0.25">
      <c r="A736" s="143"/>
      <c r="B736" s="159"/>
      <c r="C736" s="156"/>
      <c r="D736" s="156"/>
      <c r="E736" s="156"/>
      <c r="F736" s="156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spans="1:26" ht="15" x14ac:dyDescent="0.25">
      <c r="A737" s="143"/>
      <c r="B737" s="159"/>
      <c r="C737" s="156"/>
      <c r="D737" s="156"/>
      <c r="E737" s="156"/>
      <c r="F737" s="156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spans="1:26" ht="15" x14ac:dyDescent="0.25">
      <c r="A738" s="143"/>
      <c r="B738" s="159"/>
      <c r="C738" s="156"/>
      <c r="D738" s="156"/>
      <c r="E738" s="156"/>
      <c r="F738" s="156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spans="1:26" ht="15" x14ac:dyDescent="0.25">
      <c r="A739" s="143"/>
      <c r="B739" s="159"/>
      <c r="C739" s="156"/>
      <c r="D739" s="156"/>
      <c r="E739" s="156"/>
      <c r="F739" s="156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spans="1:26" ht="15" x14ac:dyDescent="0.25">
      <c r="A740" s="143"/>
      <c r="B740" s="159"/>
      <c r="C740" s="156"/>
      <c r="D740" s="156"/>
      <c r="E740" s="156"/>
      <c r="F740" s="156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spans="1:26" ht="15" x14ac:dyDescent="0.25">
      <c r="A741" s="143"/>
      <c r="B741" s="159"/>
      <c r="C741" s="156"/>
      <c r="D741" s="156"/>
      <c r="E741" s="156"/>
      <c r="F741" s="156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spans="1:26" ht="15" x14ac:dyDescent="0.25">
      <c r="A742" s="143"/>
      <c r="B742" s="159"/>
      <c r="C742" s="156"/>
      <c r="D742" s="156"/>
      <c r="E742" s="156"/>
      <c r="F742" s="156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spans="1:26" ht="15" x14ac:dyDescent="0.25">
      <c r="A743" s="143"/>
      <c r="B743" s="159"/>
      <c r="C743" s="156"/>
      <c r="D743" s="156"/>
      <c r="E743" s="156"/>
      <c r="F743" s="156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spans="1:26" ht="15" x14ac:dyDescent="0.25">
      <c r="A744" s="143"/>
      <c r="B744" s="159"/>
      <c r="C744" s="156"/>
      <c r="D744" s="156"/>
      <c r="E744" s="156"/>
      <c r="F744" s="156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spans="1:26" ht="15" x14ac:dyDescent="0.25">
      <c r="A745" s="143"/>
      <c r="B745" s="159"/>
      <c r="C745" s="156"/>
      <c r="D745" s="156"/>
      <c r="E745" s="156"/>
      <c r="F745" s="156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spans="1:26" ht="15" x14ac:dyDescent="0.25">
      <c r="A746" s="143"/>
      <c r="B746" s="159"/>
      <c r="C746" s="156"/>
      <c r="D746" s="156"/>
      <c r="E746" s="156"/>
      <c r="F746" s="156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spans="1:26" ht="15" x14ac:dyDescent="0.25">
      <c r="A747" s="143"/>
      <c r="B747" s="159"/>
      <c r="C747" s="156"/>
      <c r="D747" s="156"/>
      <c r="E747" s="156"/>
      <c r="F747" s="156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spans="1:26" ht="15" x14ac:dyDescent="0.25">
      <c r="A748" s="143"/>
      <c r="B748" s="159"/>
      <c r="C748" s="156"/>
      <c r="D748" s="156"/>
      <c r="E748" s="156"/>
      <c r="F748" s="156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spans="1:26" ht="15" x14ac:dyDescent="0.25">
      <c r="A749" s="143"/>
      <c r="B749" s="159"/>
      <c r="C749" s="156"/>
      <c r="D749" s="156"/>
      <c r="E749" s="156"/>
      <c r="F749" s="156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spans="1:26" ht="15" x14ac:dyDescent="0.25">
      <c r="A750" s="143"/>
      <c r="B750" s="159"/>
      <c r="C750" s="156"/>
      <c r="D750" s="156"/>
      <c r="E750" s="156"/>
      <c r="F750" s="156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spans="1:26" ht="15" x14ac:dyDescent="0.25">
      <c r="A751" s="143"/>
      <c r="B751" s="159"/>
      <c r="C751" s="156"/>
      <c r="D751" s="156"/>
      <c r="E751" s="156"/>
      <c r="F751" s="156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spans="1:26" ht="15" x14ac:dyDescent="0.25">
      <c r="A752" s="143"/>
      <c r="B752" s="159"/>
      <c r="C752" s="156"/>
      <c r="D752" s="156"/>
      <c r="E752" s="156"/>
      <c r="F752" s="156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spans="1:26" ht="15" x14ac:dyDescent="0.25">
      <c r="A753" s="143"/>
      <c r="B753" s="159"/>
      <c r="C753" s="156"/>
      <c r="D753" s="156"/>
      <c r="E753" s="156"/>
      <c r="F753" s="156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spans="1:26" ht="15" x14ac:dyDescent="0.25">
      <c r="A754" s="143"/>
      <c r="B754" s="159"/>
      <c r="C754" s="156"/>
      <c r="D754" s="156"/>
      <c r="E754" s="156"/>
      <c r="F754" s="156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spans="1:26" ht="15" x14ac:dyDescent="0.25">
      <c r="A755" s="143"/>
      <c r="B755" s="159"/>
      <c r="C755" s="156"/>
      <c r="D755" s="156"/>
      <c r="E755" s="156"/>
      <c r="F755" s="156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spans="1:26" ht="15" x14ac:dyDescent="0.25">
      <c r="A756" s="143"/>
      <c r="B756" s="159"/>
      <c r="C756" s="156"/>
      <c r="D756" s="156"/>
      <c r="E756" s="156"/>
      <c r="F756" s="156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spans="1:26" ht="15" x14ac:dyDescent="0.25">
      <c r="A757" s="143"/>
      <c r="B757" s="159"/>
      <c r="C757" s="156"/>
      <c r="D757" s="156"/>
      <c r="E757" s="156"/>
      <c r="F757" s="156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spans="1:26" ht="15" x14ac:dyDescent="0.25">
      <c r="A758" s="143"/>
      <c r="B758" s="159"/>
      <c r="C758" s="156"/>
      <c r="D758" s="156"/>
      <c r="E758" s="156"/>
      <c r="F758" s="156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spans="1:26" ht="15" x14ac:dyDescent="0.25">
      <c r="A759" s="143"/>
      <c r="B759" s="159"/>
      <c r="C759" s="156"/>
      <c r="D759" s="156"/>
      <c r="E759" s="156"/>
      <c r="F759" s="156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spans="1:26" ht="15" x14ac:dyDescent="0.25">
      <c r="A760" s="143"/>
      <c r="B760" s="159"/>
      <c r="C760" s="156"/>
      <c r="D760" s="156"/>
      <c r="E760" s="156"/>
      <c r="F760" s="156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spans="1:26" ht="15" x14ac:dyDescent="0.25">
      <c r="A761" s="143"/>
      <c r="B761" s="159"/>
      <c r="C761" s="156"/>
      <c r="D761" s="156"/>
      <c r="E761" s="156"/>
      <c r="F761" s="156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spans="1:26" ht="15" x14ac:dyDescent="0.25">
      <c r="A762" s="143"/>
      <c r="B762" s="159"/>
      <c r="C762" s="156"/>
      <c r="D762" s="156"/>
      <c r="E762" s="156"/>
      <c r="F762" s="156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spans="1:26" ht="15" x14ac:dyDescent="0.25">
      <c r="A763" s="143"/>
      <c r="B763" s="159"/>
      <c r="C763" s="156"/>
      <c r="D763" s="156"/>
      <c r="E763" s="156"/>
      <c r="F763" s="156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spans="1:26" ht="15" x14ac:dyDescent="0.25">
      <c r="A764" s="143"/>
      <c r="B764" s="159"/>
      <c r="C764" s="156"/>
      <c r="D764" s="156"/>
      <c r="E764" s="156"/>
      <c r="F764" s="156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spans="1:26" ht="15" x14ac:dyDescent="0.25">
      <c r="A765" s="143"/>
      <c r="B765" s="159"/>
      <c r="C765" s="156"/>
      <c r="D765" s="156"/>
      <c r="E765" s="156"/>
      <c r="F765" s="156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spans="1:26" ht="15" x14ac:dyDescent="0.25">
      <c r="A766" s="143"/>
      <c r="B766" s="159"/>
      <c r="C766" s="156"/>
      <c r="D766" s="156"/>
      <c r="E766" s="156"/>
      <c r="F766" s="156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spans="1:26" ht="15" x14ac:dyDescent="0.25">
      <c r="A767" s="143"/>
      <c r="B767" s="159"/>
      <c r="C767" s="156"/>
      <c r="D767" s="156"/>
      <c r="E767" s="156"/>
      <c r="F767" s="156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spans="1:26" ht="15" x14ac:dyDescent="0.25">
      <c r="A768" s="143"/>
      <c r="B768" s="159"/>
      <c r="C768" s="156"/>
      <c r="D768" s="156"/>
      <c r="E768" s="156"/>
      <c r="F768" s="156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spans="1:26" ht="15" x14ac:dyDescent="0.25">
      <c r="A769" s="143"/>
      <c r="B769" s="159"/>
      <c r="C769" s="156"/>
      <c r="D769" s="156"/>
      <c r="E769" s="156"/>
      <c r="F769" s="156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spans="1:26" ht="15" x14ac:dyDescent="0.25">
      <c r="A770" s="143"/>
      <c r="B770" s="159"/>
      <c r="C770" s="156"/>
      <c r="D770" s="156"/>
      <c r="E770" s="156"/>
      <c r="F770" s="156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spans="1:26" ht="15" x14ac:dyDescent="0.25">
      <c r="A771" s="143"/>
      <c r="B771" s="159"/>
      <c r="C771" s="156"/>
      <c r="D771" s="156"/>
      <c r="E771" s="156"/>
      <c r="F771" s="156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spans="1:26" ht="15" x14ac:dyDescent="0.25">
      <c r="A772" s="143"/>
      <c r="B772" s="159"/>
      <c r="C772" s="156"/>
      <c r="D772" s="156"/>
      <c r="E772" s="156"/>
      <c r="F772" s="156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spans="1:26" ht="15" x14ac:dyDescent="0.25">
      <c r="A773" s="143"/>
      <c r="B773" s="159"/>
      <c r="C773" s="156"/>
      <c r="D773" s="156"/>
      <c r="E773" s="156"/>
      <c r="F773" s="156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spans="1:26" ht="15" x14ac:dyDescent="0.25">
      <c r="A774" s="143"/>
      <c r="B774" s="159"/>
      <c r="C774" s="156"/>
      <c r="D774" s="156"/>
      <c r="E774" s="156"/>
      <c r="F774" s="156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spans="1:26" ht="15" x14ac:dyDescent="0.25">
      <c r="A775" s="143"/>
      <c r="B775" s="159"/>
      <c r="C775" s="156"/>
      <c r="D775" s="156"/>
      <c r="E775" s="156"/>
      <c r="F775" s="156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spans="1:26" ht="15" x14ac:dyDescent="0.25">
      <c r="A776" s="143"/>
      <c r="B776" s="159"/>
      <c r="C776" s="156"/>
      <c r="D776" s="156"/>
      <c r="E776" s="156"/>
      <c r="F776" s="156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spans="1:26" ht="15" x14ac:dyDescent="0.25">
      <c r="A777" s="143"/>
      <c r="B777" s="159"/>
      <c r="C777" s="156"/>
      <c r="D777" s="156"/>
      <c r="E777" s="156"/>
      <c r="F777" s="156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spans="1:26" ht="15" x14ac:dyDescent="0.25">
      <c r="A778" s="143"/>
      <c r="B778" s="159"/>
      <c r="C778" s="156"/>
      <c r="D778" s="156"/>
      <c r="E778" s="156"/>
      <c r="F778" s="156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spans="1:26" ht="15" x14ac:dyDescent="0.25">
      <c r="A779" s="143"/>
      <c r="B779" s="159"/>
      <c r="C779" s="156"/>
      <c r="D779" s="156"/>
      <c r="E779" s="156"/>
      <c r="F779" s="156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spans="1:26" ht="15" x14ac:dyDescent="0.25">
      <c r="A780" s="143"/>
      <c r="B780" s="159"/>
      <c r="C780" s="156"/>
      <c r="D780" s="156"/>
      <c r="E780" s="156"/>
      <c r="F780" s="156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spans="1:26" ht="15" x14ac:dyDescent="0.25">
      <c r="A781" s="143"/>
      <c r="B781" s="159"/>
      <c r="C781" s="156"/>
      <c r="D781" s="156"/>
      <c r="E781" s="156"/>
      <c r="F781" s="156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spans="1:26" ht="15" x14ac:dyDescent="0.25">
      <c r="A782" s="143"/>
      <c r="B782" s="159"/>
      <c r="C782" s="156"/>
      <c r="D782" s="156"/>
      <c r="E782" s="156"/>
      <c r="F782" s="156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spans="1:26" ht="15" x14ac:dyDescent="0.25">
      <c r="A783" s="143"/>
      <c r="B783" s="159"/>
      <c r="C783" s="156"/>
      <c r="D783" s="156"/>
      <c r="E783" s="156"/>
      <c r="F783" s="156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spans="1:26" ht="15" x14ac:dyDescent="0.25">
      <c r="A784" s="143"/>
      <c r="B784" s="159"/>
      <c r="C784" s="156"/>
      <c r="D784" s="156"/>
      <c r="E784" s="156"/>
      <c r="F784" s="156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spans="1:26" ht="15" x14ac:dyDescent="0.25">
      <c r="A785" s="143"/>
      <c r="B785" s="159"/>
      <c r="C785" s="156"/>
      <c r="D785" s="156"/>
      <c r="E785" s="156"/>
      <c r="F785" s="156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spans="1:26" ht="15" x14ac:dyDescent="0.25">
      <c r="A786" s="143"/>
      <c r="B786" s="159"/>
      <c r="C786" s="156"/>
      <c r="D786" s="156"/>
      <c r="E786" s="156"/>
      <c r="F786" s="156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spans="1:26" ht="15" x14ac:dyDescent="0.25">
      <c r="A787" s="143"/>
      <c r="B787" s="159"/>
      <c r="C787" s="156"/>
      <c r="D787" s="156"/>
      <c r="E787" s="156"/>
      <c r="F787" s="156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spans="1:26" ht="15" x14ac:dyDescent="0.25">
      <c r="A788" s="143"/>
      <c r="B788" s="159"/>
      <c r="C788" s="156"/>
      <c r="D788" s="156"/>
      <c r="E788" s="156"/>
      <c r="F788" s="156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spans="1:26" ht="15" x14ac:dyDescent="0.25">
      <c r="A789" s="143"/>
      <c r="B789" s="159"/>
      <c r="C789" s="156"/>
      <c r="D789" s="156"/>
      <c r="E789" s="156"/>
      <c r="F789" s="156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spans="1:26" ht="15" x14ac:dyDescent="0.25">
      <c r="A790" s="143"/>
      <c r="B790" s="159"/>
      <c r="C790" s="156"/>
      <c r="D790" s="156"/>
      <c r="E790" s="156"/>
      <c r="F790" s="156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spans="1:26" ht="15" x14ac:dyDescent="0.25">
      <c r="A791" s="143"/>
      <c r="B791" s="159"/>
      <c r="C791" s="156"/>
      <c r="D791" s="156"/>
      <c r="E791" s="156"/>
      <c r="F791" s="156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spans="1:26" ht="15" x14ac:dyDescent="0.25">
      <c r="A792" s="143"/>
      <c r="B792" s="159"/>
      <c r="C792" s="156"/>
      <c r="D792" s="156"/>
      <c r="E792" s="156"/>
      <c r="F792" s="156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spans="1:26" ht="15" x14ac:dyDescent="0.25">
      <c r="A793" s="143"/>
      <c r="B793" s="159"/>
      <c r="C793" s="156"/>
      <c r="D793" s="156"/>
      <c r="E793" s="156"/>
      <c r="F793" s="156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spans="1:26" ht="15" x14ac:dyDescent="0.25">
      <c r="A794" s="143"/>
      <c r="B794" s="159"/>
      <c r="C794" s="156"/>
      <c r="D794" s="156"/>
      <c r="E794" s="156"/>
      <c r="F794" s="156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spans="1:26" ht="15" x14ac:dyDescent="0.25">
      <c r="A795" s="143"/>
      <c r="B795" s="159"/>
      <c r="C795" s="156"/>
      <c r="D795" s="156"/>
      <c r="E795" s="156"/>
      <c r="F795" s="156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spans="1:26" ht="15" x14ac:dyDescent="0.25">
      <c r="A796" s="143"/>
      <c r="B796" s="159"/>
      <c r="C796" s="156"/>
      <c r="D796" s="156"/>
      <c r="E796" s="156"/>
      <c r="F796" s="156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spans="1:26" ht="15" x14ac:dyDescent="0.25">
      <c r="A797" s="143"/>
      <c r="B797" s="159"/>
      <c r="C797" s="156"/>
      <c r="D797" s="156"/>
      <c r="E797" s="156"/>
      <c r="F797" s="156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spans="1:26" ht="15" x14ac:dyDescent="0.25">
      <c r="A798" s="143"/>
      <c r="B798" s="159"/>
      <c r="C798" s="156"/>
      <c r="D798" s="156"/>
      <c r="E798" s="156"/>
      <c r="F798" s="156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spans="1:26" ht="15" x14ac:dyDescent="0.25">
      <c r="A799" s="143"/>
      <c r="B799" s="159"/>
      <c r="C799" s="156"/>
      <c r="D799" s="156"/>
      <c r="E799" s="156"/>
      <c r="F799" s="156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spans="1:26" ht="15" x14ac:dyDescent="0.25">
      <c r="A800" s="143"/>
      <c r="B800" s="159"/>
      <c r="C800" s="156"/>
      <c r="D800" s="156"/>
      <c r="E800" s="156"/>
      <c r="F800" s="156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spans="1:26" ht="15" x14ac:dyDescent="0.25">
      <c r="A801" s="143"/>
      <c r="B801" s="159"/>
      <c r="C801" s="156"/>
      <c r="D801" s="156"/>
      <c r="E801" s="156"/>
      <c r="F801" s="156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spans="1:26" ht="15" x14ac:dyDescent="0.25">
      <c r="A802" s="143"/>
      <c r="B802" s="159"/>
      <c r="C802" s="156"/>
      <c r="D802" s="156"/>
      <c r="E802" s="156"/>
      <c r="F802" s="156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spans="1:26" ht="15" x14ac:dyDescent="0.25">
      <c r="A803" s="143"/>
      <c r="B803" s="159"/>
      <c r="C803" s="156"/>
      <c r="D803" s="156"/>
      <c r="E803" s="156"/>
      <c r="F803" s="156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spans="1:26" ht="15" x14ac:dyDescent="0.25">
      <c r="A804" s="143"/>
      <c r="B804" s="159"/>
      <c r="C804" s="156"/>
      <c r="D804" s="156"/>
      <c r="E804" s="156"/>
      <c r="F804" s="156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spans="1:26" ht="15" x14ac:dyDescent="0.25">
      <c r="A805" s="143"/>
      <c r="B805" s="159"/>
      <c r="C805" s="156"/>
      <c r="D805" s="156"/>
      <c r="E805" s="156"/>
      <c r="F805" s="156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spans="1:26" ht="15" x14ac:dyDescent="0.25">
      <c r="A806" s="143"/>
      <c r="B806" s="159"/>
      <c r="C806" s="156"/>
      <c r="D806" s="156"/>
      <c r="E806" s="156"/>
      <c r="F806" s="156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spans="1:26" ht="15" x14ac:dyDescent="0.25">
      <c r="A807" s="143"/>
      <c r="B807" s="159"/>
      <c r="C807" s="156"/>
      <c r="D807" s="156"/>
      <c r="E807" s="156"/>
      <c r="F807" s="156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spans="1:26" ht="15" x14ac:dyDescent="0.25">
      <c r="A808" s="143"/>
      <c r="B808" s="159"/>
      <c r="C808" s="156"/>
      <c r="D808" s="156"/>
      <c r="E808" s="156"/>
      <c r="F808" s="156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spans="1:26" ht="15" x14ac:dyDescent="0.25">
      <c r="A809" s="143"/>
      <c r="B809" s="159"/>
      <c r="C809" s="156"/>
      <c r="D809" s="156"/>
      <c r="E809" s="156"/>
      <c r="F809" s="156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spans="1:26" ht="15" x14ac:dyDescent="0.25">
      <c r="A810" s="143"/>
      <c r="B810" s="159"/>
      <c r="C810" s="156"/>
      <c r="D810" s="156"/>
      <c r="E810" s="156"/>
      <c r="F810" s="156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spans="1:26" ht="15" x14ac:dyDescent="0.25">
      <c r="A811" s="143"/>
      <c r="B811" s="159"/>
      <c r="C811" s="156"/>
      <c r="D811" s="156"/>
      <c r="E811" s="156"/>
      <c r="F811" s="156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spans="1:26" ht="15" x14ac:dyDescent="0.25">
      <c r="A812" s="143"/>
      <c r="B812" s="159"/>
      <c r="C812" s="156"/>
      <c r="D812" s="156"/>
      <c r="E812" s="156"/>
      <c r="F812" s="156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spans="1:26" ht="15" x14ac:dyDescent="0.25">
      <c r="A813" s="143"/>
      <c r="B813" s="159"/>
      <c r="C813" s="156"/>
      <c r="D813" s="156"/>
      <c r="E813" s="156"/>
      <c r="F813" s="156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spans="1:26" ht="15" x14ac:dyDescent="0.25">
      <c r="A814" s="143"/>
      <c r="B814" s="159"/>
      <c r="C814" s="156"/>
      <c r="D814" s="156"/>
      <c r="E814" s="156"/>
      <c r="F814" s="156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spans="1:26" ht="15" x14ac:dyDescent="0.25">
      <c r="A815" s="143"/>
      <c r="B815" s="159"/>
      <c r="C815" s="156"/>
      <c r="D815" s="156"/>
      <c r="E815" s="156"/>
      <c r="F815" s="156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spans="1:26" ht="15" x14ac:dyDescent="0.25">
      <c r="A816" s="143"/>
      <c r="B816" s="159"/>
      <c r="C816" s="156"/>
      <c r="D816" s="156"/>
      <c r="E816" s="156"/>
      <c r="F816" s="156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spans="1:26" ht="15" x14ac:dyDescent="0.25">
      <c r="A817" s="143"/>
      <c r="B817" s="159"/>
      <c r="C817" s="156"/>
      <c r="D817" s="156"/>
      <c r="E817" s="156"/>
      <c r="F817" s="156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spans="1:26" ht="15" x14ac:dyDescent="0.25">
      <c r="A818" s="143"/>
      <c r="B818" s="159"/>
      <c r="C818" s="156"/>
      <c r="D818" s="156"/>
      <c r="E818" s="156"/>
      <c r="F818" s="156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spans="1:26" ht="15" x14ac:dyDescent="0.25">
      <c r="A819" s="143"/>
      <c r="B819" s="159"/>
      <c r="C819" s="156"/>
      <c r="D819" s="156"/>
      <c r="E819" s="156"/>
      <c r="F819" s="156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spans="1:26" ht="15" x14ac:dyDescent="0.25">
      <c r="A820" s="143"/>
      <c r="B820" s="159"/>
      <c r="C820" s="156"/>
      <c r="D820" s="156"/>
      <c r="E820" s="156"/>
      <c r="F820" s="156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spans="1:26" ht="15" x14ac:dyDescent="0.25">
      <c r="A821" s="143"/>
      <c r="B821" s="159"/>
      <c r="C821" s="156"/>
      <c r="D821" s="156"/>
      <c r="E821" s="156"/>
      <c r="F821" s="156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spans="1:26" ht="15" x14ac:dyDescent="0.25">
      <c r="A822" s="143"/>
      <c r="B822" s="159"/>
      <c r="C822" s="156"/>
      <c r="D822" s="156"/>
      <c r="E822" s="156"/>
      <c r="F822" s="156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spans="1:26" ht="15" x14ac:dyDescent="0.25">
      <c r="A823" s="143"/>
      <c r="B823" s="159"/>
      <c r="C823" s="156"/>
      <c r="D823" s="156"/>
      <c r="E823" s="156"/>
      <c r="F823" s="156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spans="1:26" ht="15" x14ac:dyDescent="0.25">
      <c r="A824" s="143"/>
      <c r="B824" s="159"/>
      <c r="C824" s="156"/>
      <c r="D824" s="156"/>
      <c r="E824" s="156"/>
      <c r="F824" s="156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spans="1:26" ht="15" x14ac:dyDescent="0.25">
      <c r="A825" s="143"/>
      <c r="B825" s="159"/>
      <c r="C825" s="156"/>
      <c r="D825" s="156"/>
      <c r="E825" s="156"/>
      <c r="F825" s="156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spans="1:26" ht="15" x14ac:dyDescent="0.25">
      <c r="A826" s="143"/>
      <c r="B826" s="159"/>
      <c r="C826" s="156"/>
      <c r="D826" s="156"/>
      <c r="E826" s="156"/>
      <c r="F826" s="156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spans="1:26" ht="15" x14ac:dyDescent="0.25">
      <c r="A827" s="143"/>
      <c r="B827" s="159"/>
      <c r="C827" s="156"/>
      <c r="D827" s="156"/>
      <c r="E827" s="156"/>
      <c r="F827" s="156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spans="1:26" ht="15" x14ac:dyDescent="0.25">
      <c r="A828" s="143"/>
      <c r="B828" s="159"/>
      <c r="C828" s="156"/>
      <c r="D828" s="156"/>
      <c r="E828" s="156"/>
      <c r="F828" s="156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spans="1:26" ht="15" x14ac:dyDescent="0.25">
      <c r="A829" s="143"/>
      <c r="B829" s="159"/>
      <c r="C829" s="156"/>
      <c r="D829" s="156"/>
      <c r="E829" s="156"/>
      <c r="F829" s="156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spans="1:26" ht="15" x14ac:dyDescent="0.25">
      <c r="A830" s="143"/>
      <c r="B830" s="159"/>
      <c r="C830" s="156"/>
      <c r="D830" s="156"/>
      <c r="E830" s="156"/>
      <c r="F830" s="156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spans="1:26" ht="15" x14ac:dyDescent="0.25">
      <c r="A831" s="143"/>
      <c r="B831" s="159"/>
      <c r="C831" s="156"/>
      <c r="D831" s="156"/>
      <c r="E831" s="156"/>
      <c r="F831" s="156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spans="1:26" ht="15" x14ac:dyDescent="0.25">
      <c r="A832" s="143"/>
      <c r="B832" s="159"/>
      <c r="C832" s="156"/>
      <c r="D832" s="156"/>
      <c r="E832" s="156"/>
      <c r="F832" s="156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spans="1:26" ht="15" x14ac:dyDescent="0.25">
      <c r="A833" s="143"/>
      <c r="B833" s="159"/>
      <c r="C833" s="156"/>
      <c r="D833" s="156"/>
      <c r="E833" s="156"/>
      <c r="F833" s="156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spans="1:26" ht="15" x14ac:dyDescent="0.25">
      <c r="A834" s="143"/>
      <c r="B834" s="159"/>
      <c r="C834" s="156"/>
      <c r="D834" s="156"/>
      <c r="E834" s="156"/>
      <c r="F834" s="156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spans="1:26" ht="15" x14ac:dyDescent="0.25">
      <c r="A835" s="143"/>
      <c r="B835" s="159"/>
      <c r="C835" s="156"/>
      <c r="D835" s="156"/>
      <c r="E835" s="156"/>
      <c r="F835" s="156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spans="1:26" ht="15" x14ac:dyDescent="0.25">
      <c r="A836" s="143"/>
      <c r="B836" s="159"/>
      <c r="C836" s="156"/>
      <c r="D836" s="156"/>
      <c r="E836" s="156"/>
      <c r="F836" s="156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spans="1:26" ht="15" x14ac:dyDescent="0.25">
      <c r="A837" s="143"/>
      <c r="B837" s="159"/>
      <c r="C837" s="156"/>
      <c r="D837" s="156"/>
      <c r="E837" s="156"/>
      <c r="F837" s="156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spans="1:26" ht="15" x14ac:dyDescent="0.25">
      <c r="A838" s="143"/>
      <c r="B838" s="159"/>
      <c r="C838" s="156"/>
      <c r="D838" s="156"/>
      <c r="E838" s="156"/>
      <c r="F838" s="156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spans="1:26" ht="15" x14ac:dyDescent="0.25">
      <c r="A839" s="143"/>
      <c r="B839" s="159"/>
      <c r="C839" s="156"/>
      <c r="D839" s="156"/>
      <c r="E839" s="156"/>
      <c r="F839" s="156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spans="1:26" ht="15" x14ac:dyDescent="0.25">
      <c r="A840" s="143"/>
      <c r="B840" s="159"/>
      <c r="C840" s="156"/>
      <c r="D840" s="156"/>
      <c r="E840" s="156"/>
      <c r="F840" s="156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spans="1:26" ht="15" x14ac:dyDescent="0.25">
      <c r="A841" s="143"/>
      <c r="B841" s="159"/>
      <c r="C841" s="156"/>
      <c r="D841" s="156"/>
      <c r="E841" s="156"/>
      <c r="F841" s="156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spans="1:26" ht="15" x14ac:dyDescent="0.25">
      <c r="A842" s="143"/>
      <c r="B842" s="159"/>
      <c r="C842" s="156"/>
      <c r="D842" s="156"/>
      <c r="E842" s="156"/>
      <c r="F842" s="156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spans="1:26" ht="15" x14ac:dyDescent="0.25">
      <c r="A843" s="143"/>
      <c r="B843" s="159"/>
      <c r="C843" s="156"/>
      <c r="D843" s="156"/>
      <c r="E843" s="156"/>
      <c r="F843" s="156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spans="1:26" ht="15" x14ac:dyDescent="0.25">
      <c r="A844" s="143"/>
      <c r="B844" s="159"/>
      <c r="C844" s="156"/>
      <c r="D844" s="156"/>
      <c r="E844" s="156"/>
      <c r="F844" s="156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spans="1:26" ht="15" x14ac:dyDescent="0.25">
      <c r="A845" s="143"/>
      <c r="B845" s="159"/>
      <c r="C845" s="156"/>
      <c r="D845" s="156"/>
      <c r="E845" s="156"/>
      <c r="F845" s="156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spans="1:26" ht="15" x14ac:dyDescent="0.25">
      <c r="A846" s="143"/>
      <c r="B846" s="159"/>
      <c r="C846" s="156"/>
      <c r="D846" s="156"/>
      <c r="E846" s="156"/>
      <c r="F846" s="156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spans="1:26" ht="15" x14ac:dyDescent="0.25">
      <c r="A847" s="143"/>
      <c r="B847" s="159"/>
      <c r="C847" s="156"/>
      <c r="D847" s="156"/>
      <c r="E847" s="156"/>
      <c r="F847" s="156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spans="1:26" ht="15" x14ac:dyDescent="0.25">
      <c r="A848" s="143"/>
      <c r="B848" s="159"/>
      <c r="C848" s="156"/>
      <c r="D848" s="156"/>
      <c r="E848" s="156"/>
      <c r="F848" s="156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spans="1:26" ht="15" x14ac:dyDescent="0.25">
      <c r="A849" s="143"/>
      <c r="B849" s="159"/>
      <c r="C849" s="156"/>
      <c r="D849" s="156"/>
      <c r="E849" s="156"/>
      <c r="F849" s="156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spans="1:26" ht="15" x14ac:dyDescent="0.25">
      <c r="A850" s="143"/>
      <c r="B850" s="159"/>
      <c r="C850" s="156"/>
      <c r="D850" s="156"/>
      <c r="E850" s="156"/>
      <c r="F850" s="156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spans="1:26" ht="15" x14ac:dyDescent="0.25">
      <c r="A851" s="143"/>
      <c r="B851" s="159"/>
      <c r="C851" s="156"/>
      <c r="D851" s="156"/>
      <c r="E851" s="156"/>
      <c r="F851" s="156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spans="1:26" ht="15" x14ac:dyDescent="0.25">
      <c r="A852" s="143"/>
      <c r="B852" s="159"/>
      <c r="C852" s="156"/>
      <c r="D852" s="156"/>
      <c r="E852" s="156"/>
      <c r="F852" s="156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spans="1:26" ht="15" x14ac:dyDescent="0.25">
      <c r="A853" s="143"/>
      <c r="B853" s="159"/>
      <c r="C853" s="156"/>
      <c r="D853" s="156"/>
      <c r="E853" s="156"/>
      <c r="F853" s="156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spans="1:26" ht="15" x14ac:dyDescent="0.25">
      <c r="A854" s="143"/>
      <c r="B854" s="159"/>
      <c r="C854" s="156"/>
      <c r="D854" s="156"/>
      <c r="E854" s="156"/>
      <c r="F854" s="156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spans="1:26" ht="15" x14ac:dyDescent="0.25">
      <c r="A855" s="143"/>
      <c r="B855" s="159"/>
      <c r="C855" s="156"/>
      <c r="D855" s="156"/>
      <c r="E855" s="156"/>
      <c r="F855" s="156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spans="1:26" ht="15" x14ac:dyDescent="0.25">
      <c r="A856" s="143"/>
      <c r="B856" s="159"/>
      <c r="C856" s="156"/>
      <c r="D856" s="156"/>
      <c r="E856" s="156"/>
      <c r="F856" s="156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spans="1:26" ht="15" x14ac:dyDescent="0.25">
      <c r="A857" s="143"/>
      <c r="B857" s="159"/>
      <c r="C857" s="156"/>
      <c r="D857" s="156"/>
      <c r="E857" s="156"/>
      <c r="F857" s="156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spans="1:26" ht="15" x14ac:dyDescent="0.25">
      <c r="A858" s="143"/>
      <c r="B858" s="159"/>
      <c r="C858" s="156"/>
      <c r="D858" s="156"/>
      <c r="E858" s="156"/>
      <c r="F858" s="156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spans="1:26" ht="15" x14ac:dyDescent="0.25">
      <c r="A859" s="143"/>
      <c r="B859" s="159"/>
      <c r="C859" s="156"/>
      <c r="D859" s="156"/>
      <c r="E859" s="156"/>
      <c r="F859" s="156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spans="1:26" ht="15" x14ac:dyDescent="0.25">
      <c r="A860" s="143"/>
      <c r="B860" s="159"/>
      <c r="C860" s="156"/>
      <c r="D860" s="156"/>
      <c r="E860" s="156"/>
      <c r="F860" s="156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spans="1:26" ht="15" x14ac:dyDescent="0.25">
      <c r="A861" s="143"/>
      <c r="B861" s="159"/>
      <c r="C861" s="156"/>
      <c r="D861" s="156"/>
      <c r="E861" s="156"/>
      <c r="F861" s="156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spans="1:26" ht="15" x14ac:dyDescent="0.25">
      <c r="A862" s="143"/>
      <c r="B862" s="159"/>
      <c r="C862" s="156"/>
      <c r="D862" s="156"/>
      <c r="E862" s="156"/>
      <c r="F862" s="156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spans="1:26" ht="15" x14ac:dyDescent="0.25">
      <c r="A863" s="143"/>
      <c r="B863" s="159"/>
      <c r="C863" s="156"/>
      <c r="D863" s="156"/>
      <c r="E863" s="156"/>
      <c r="F863" s="156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spans="1:26" ht="15" x14ac:dyDescent="0.25">
      <c r="A864" s="143"/>
      <c r="B864" s="159"/>
      <c r="C864" s="156"/>
      <c r="D864" s="156"/>
      <c r="E864" s="156"/>
      <c r="F864" s="156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spans="1:26" ht="15" x14ac:dyDescent="0.25">
      <c r="A865" s="143"/>
      <c r="B865" s="159"/>
      <c r="C865" s="156"/>
      <c r="D865" s="156"/>
      <c r="E865" s="156"/>
      <c r="F865" s="156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spans="1:26" ht="15" x14ac:dyDescent="0.25">
      <c r="A866" s="143"/>
      <c r="B866" s="159"/>
      <c r="C866" s="156"/>
      <c r="D866" s="156"/>
      <c r="E866" s="156"/>
      <c r="F866" s="156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spans="1:26" ht="15" x14ac:dyDescent="0.25">
      <c r="A867" s="143"/>
      <c r="B867" s="159"/>
      <c r="C867" s="156"/>
      <c r="D867" s="156"/>
      <c r="E867" s="156"/>
      <c r="F867" s="156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spans="1:26" ht="15" x14ac:dyDescent="0.25">
      <c r="A868" s="143"/>
      <c r="B868" s="159"/>
      <c r="C868" s="156"/>
      <c r="D868" s="156"/>
      <c r="E868" s="156"/>
      <c r="F868" s="156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spans="1:26" ht="15" x14ac:dyDescent="0.25">
      <c r="A869" s="143"/>
      <c r="B869" s="159"/>
      <c r="C869" s="156"/>
      <c r="D869" s="156"/>
      <c r="E869" s="156"/>
      <c r="F869" s="156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spans="1:26" ht="15" x14ac:dyDescent="0.25">
      <c r="A870" s="143"/>
      <c r="B870" s="159"/>
      <c r="C870" s="156"/>
      <c r="D870" s="156"/>
      <c r="E870" s="156"/>
      <c r="F870" s="156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spans="1:26" ht="15" x14ac:dyDescent="0.25">
      <c r="A871" s="143"/>
      <c r="B871" s="159"/>
      <c r="C871" s="156"/>
      <c r="D871" s="156"/>
      <c r="E871" s="156"/>
      <c r="F871" s="156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spans="1:26" ht="15" x14ac:dyDescent="0.25">
      <c r="A872" s="143"/>
      <c r="B872" s="159"/>
      <c r="C872" s="156"/>
      <c r="D872" s="156"/>
      <c r="E872" s="156"/>
      <c r="F872" s="156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spans="1:26" ht="15" x14ac:dyDescent="0.25">
      <c r="A873" s="143"/>
      <c r="B873" s="159"/>
      <c r="C873" s="156"/>
      <c r="D873" s="156"/>
      <c r="E873" s="156"/>
      <c r="F873" s="156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spans="1:26" ht="15" x14ac:dyDescent="0.25">
      <c r="A874" s="143"/>
      <c r="B874" s="159"/>
      <c r="C874" s="156"/>
      <c r="D874" s="156"/>
      <c r="E874" s="156"/>
      <c r="F874" s="156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spans="1:26" ht="15" x14ac:dyDescent="0.25">
      <c r="A875" s="143"/>
      <c r="B875" s="159"/>
      <c r="C875" s="156"/>
      <c r="D875" s="156"/>
      <c r="E875" s="156"/>
      <c r="F875" s="156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spans="1:26" ht="15" x14ac:dyDescent="0.25">
      <c r="A876" s="143"/>
      <c r="B876" s="159"/>
      <c r="C876" s="156"/>
      <c r="D876" s="156"/>
      <c r="E876" s="156"/>
      <c r="F876" s="156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spans="1:26" ht="15" x14ac:dyDescent="0.25">
      <c r="A877" s="143"/>
      <c r="B877" s="159"/>
      <c r="C877" s="156"/>
      <c r="D877" s="156"/>
      <c r="E877" s="156"/>
      <c r="F877" s="156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spans="1:26" ht="15" x14ac:dyDescent="0.25">
      <c r="A878" s="143"/>
      <c r="B878" s="159"/>
      <c r="C878" s="156"/>
      <c r="D878" s="156"/>
      <c r="E878" s="156"/>
      <c r="F878" s="156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spans="1:26" ht="15" x14ac:dyDescent="0.25">
      <c r="A879" s="143"/>
      <c r="B879" s="159"/>
      <c r="C879" s="156"/>
      <c r="D879" s="156"/>
      <c r="E879" s="156"/>
      <c r="F879" s="156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spans="1:26" ht="15" x14ac:dyDescent="0.25">
      <c r="A880" s="143"/>
      <c r="B880" s="159"/>
      <c r="C880" s="156"/>
      <c r="D880" s="156"/>
      <c r="E880" s="156"/>
      <c r="F880" s="156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spans="1:26" ht="15" x14ac:dyDescent="0.25">
      <c r="A881" s="143"/>
      <c r="B881" s="159"/>
      <c r="C881" s="156"/>
      <c r="D881" s="156"/>
      <c r="E881" s="156"/>
      <c r="F881" s="156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spans="1:26" ht="15" x14ac:dyDescent="0.25">
      <c r="A882" s="143"/>
      <c r="B882" s="159"/>
      <c r="C882" s="156"/>
      <c r="D882" s="156"/>
      <c r="E882" s="156"/>
      <c r="F882" s="156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spans="1:26" ht="15" x14ac:dyDescent="0.25">
      <c r="A883" s="143"/>
      <c r="B883" s="159"/>
      <c r="C883" s="156"/>
      <c r="D883" s="156"/>
      <c r="E883" s="156"/>
      <c r="F883" s="156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spans="1:26" ht="15" x14ac:dyDescent="0.25">
      <c r="A884" s="143"/>
      <c r="B884" s="159"/>
      <c r="C884" s="156"/>
      <c r="D884" s="156"/>
      <c r="E884" s="156"/>
      <c r="F884" s="156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spans="1:26" ht="15" x14ac:dyDescent="0.25">
      <c r="A885" s="143"/>
      <c r="B885" s="159"/>
      <c r="C885" s="156"/>
      <c r="D885" s="156"/>
      <c r="E885" s="156"/>
      <c r="F885" s="156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spans="1:26" ht="15" x14ac:dyDescent="0.25">
      <c r="A886" s="143"/>
      <c r="B886" s="159"/>
      <c r="C886" s="156"/>
      <c r="D886" s="156"/>
      <c r="E886" s="156"/>
      <c r="F886" s="156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spans="1:26" ht="15" x14ac:dyDescent="0.25">
      <c r="A887" s="143"/>
      <c r="B887" s="159"/>
      <c r="C887" s="156"/>
      <c r="D887" s="156"/>
      <c r="E887" s="156"/>
      <c r="F887" s="156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spans="1:26" ht="15" x14ac:dyDescent="0.25">
      <c r="A888" s="143"/>
      <c r="B888" s="159"/>
      <c r="C888" s="156"/>
      <c r="D888" s="156"/>
      <c r="E888" s="156"/>
      <c r="F888" s="156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spans="1:26" ht="15" x14ac:dyDescent="0.25">
      <c r="A889" s="143"/>
      <c r="B889" s="159"/>
      <c r="C889" s="156"/>
      <c r="D889" s="156"/>
      <c r="E889" s="156"/>
      <c r="F889" s="156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spans="1:26" ht="15" x14ac:dyDescent="0.25">
      <c r="A890" s="143"/>
      <c r="B890" s="159"/>
      <c r="C890" s="156"/>
      <c r="D890" s="156"/>
      <c r="E890" s="156"/>
      <c r="F890" s="156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spans="1:26" ht="15" x14ac:dyDescent="0.25">
      <c r="A891" s="143"/>
      <c r="B891" s="159"/>
      <c r="C891" s="156"/>
      <c r="D891" s="156"/>
      <c r="E891" s="156"/>
      <c r="F891" s="156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spans="1:26" ht="15" x14ac:dyDescent="0.25">
      <c r="A892" s="143"/>
      <c r="B892" s="159"/>
      <c r="C892" s="156"/>
      <c r="D892" s="156"/>
      <c r="E892" s="156"/>
      <c r="F892" s="156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spans="1:26" ht="15" x14ac:dyDescent="0.25">
      <c r="A893" s="143"/>
      <c r="B893" s="159"/>
      <c r="C893" s="156"/>
      <c r="D893" s="156"/>
      <c r="E893" s="156"/>
      <c r="F893" s="156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spans="1:26" ht="15" x14ac:dyDescent="0.25">
      <c r="A894" s="143"/>
      <c r="B894" s="159"/>
      <c r="C894" s="156"/>
      <c r="D894" s="156"/>
      <c r="E894" s="156"/>
      <c r="F894" s="156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spans="1:26" ht="15" x14ac:dyDescent="0.25">
      <c r="A895" s="143"/>
      <c r="B895" s="159"/>
      <c r="C895" s="156"/>
      <c r="D895" s="156"/>
      <c r="E895" s="156"/>
      <c r="F895" s="156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spans="1:26" ht="15" x14ac:dyDescent="0.25">
      <c r="A896" s="143"/>
      <c r="B896" s="159"/>
      <c r="C896" s="156"/>
      <c r="D896" s="156"/>
      <c r="E896" s="156"/>
      <c r="F896" s="156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spans="1:26" ht="15" x14ac:dyDescent="0.25">
      <c r="A897" s="143"/>
      <c r="B897" s="159"/>
      <c r="C897" s="156"/>
      <c r="D897" s="156"/>
      <c r="E897" s="156"/>
      <c r="F897" s="156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spans="1:26" ht="15" x14ac:dyDescent="0.25">
      <c r="A898" s="143"/>
      <c r="B898" s="159"/>
      <c r="C898" s="156"/>
      <c r="D898" s="156"/>
      <c r="E898" s="156"/>
      <c r="F898" s="156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spans="1:26" ht="15" x14ac:dyDescent="0.25">
      <c r="A899" s="143"/>
      <c r="B899" s="159"/>
      <c r="C899" s="156"/>
      <c r="D899" s="156"/>
      <c r="E899" s="156"/>
      <c r="F899" s="156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spans="1:26" ht="15" x14ac:dyDescent="0.25">
      <c r="A900" s="143"/>
      <c r="B900" s="159"/>
      <c r="C900" s="156"/>
      <c r="D900" s="156"/>
      <c r="E900" s="156"/>
      <c r="F900" s="156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spans="1:26" ht="15" x14ac:dyDescent="0.25">
      <c r="A901" s="143"/>
      <c r="B901" s="159"/>
      <c r="C901" s="156"/>
      <c r="D901" s="156"/>
      <c r="E901" s="156"/>
      <c r="F901" s="156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spans="1:26" ht="15" x14ac:dyDescent="0.25">
      <c r="A902" s="143"/>
      <c r="B902" s="159"/>
      <c r="C902" s="156"/>
      <c r="D902" s="156"/>
      <c r="E902" s="156"/>
      <c r="F902" s="156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spans="1:26" ht="15" x14ac:dyDescent="0.25">
      <c r="A903" s="143"/>
      <c r="B903" s="159"/>
      <c r="C903" s="156"/>
      <c r="D903" s="156"/>
      <c r="E903" s="156"/>
      <c r="F903" s="156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spans="1:26" ht="15" x14ac:dyDescent="0.25">
      <c r="A904" s="143"/>
      <c r="B904" s="159"/>
      <c r="C904" s="156"/>
      <c r="D904" s="156"/>
      <c r="E904" s="156"/>
      <c r="F904" s="156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spans="1:26" ht="15" x14ac:dyDescent="0.25">
      <c r="A905" s="143"/>
      <c r="B905" s="159"/>
      <c r="C905" s="156"/>
      <c r="D905" s="156"/>
      <c r="E905" s="156"/>
      <c r="F905" s="156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spans="1:26" ht="15" x14ac:dyDescent="0.25">
      <c r="A906" s="143"/>
      <c r="B906" s="159"/>
      <c r="C906" s="156"/>
      <c r="D906" s="156"/>
      <c r="E906" s="156"/>
      <c r="F906" s="156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spans="1:26" ht="15" x14ac:dyDescent="0.25">
      <c r="A907" s="143"/>
      <c r="B907" s="159"/>
      <c r="C907" s="156"/>
      <c r="D907" s="156"/>
      <c r="E907" s="156"/>
      <c r="F907" s="156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spans="1:26" ht="15" x14ac:dyDescent="0.25">
      <c r="A908" s="143"/>
      <c r="B908" s="159"/>
      <c r="C908" s="156"/>
      <c r="D908" s="156"/>
      <c r="E908" s="156"/>
      <c r="F908" s="156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spans="1:26" ht="15" x14ac:dyDescent="0.25">
      <c r="A909" s="143"/>
      <c r="B909" s="159"/>
      <c r="C909" s="156"/>
      <c r="D909" s="156"/>
      <c r="E909" s="156"/>
      <c r="F909" s="156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spans="1:26" ht="15" x14ac:dyDescent="0.25">
      <c r="A910" s="143"/>
      <c r="B910" s="159"/>
      <c r="C910" s="156"/>
      <c r="D910" s="156"/>
      <c r="E910" s="156"/>
      <c r="F910" s="156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spans="1:26" ht="15" x14ac:dyDescent="0.25">
      <c r="A911" s="143"/>
      <c r="B911" s="159"/>
      <c r="C911" s="156"/>
      <c r="D911" s="156"/>
      <c r="E911" s="156"/>
      <c r="F911" s="156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spans="1:26" ht="15" x14ac:dyDescent="0.25">
      <c r="A912" s="143"/>
      <c r="B912" s="159"/>
      <c r="C912" s="156"/>
      <c r="D912" s="156"/>
      <c r="E912" s="156"/>
      <c r="F912" s="156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spans="1:26" ht="15" x14ac:dyDescent="0.25">
      <c r="A913" s="143"/>
      <c r="B913" s="159"/>
      <c r="C913" s="156"/>
      <c r="D913" s="156"/>
      <c r="E913" s="156"/>
      <c r="F913" s="156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spans="1:26" ht="15" x14ac:dyDescent="0.25">
      <c r="A914" s="143"/>
      <c r="B914" s="159"/>
      <c r="C914" s="156"/>
      <c r="D914" s="156"/>
      <c r="E914" s="156"/>
      <c r="F914" s="156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spans="1:26" ht="15" x14ac:dyDescent="0.25">
      <c r="A915" s="143"/>
      <c r="B915" s="159"/>
      <c r="C915" s="156"/>
      <c r="D915" s="156"/>
      <c r="E915" s="156"/>
      <c r="F915" s="156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spans="1:26" ht="15" x14ac:dyDescent="0.25">
      <c r="A916" s="143"/>
      <c r="B916" s="159"/>
      <c r="C916" s="156"/>
      <c r="D916" s="156"/>
      <c r="E916" s="156"/>
      <c r="F916" s="156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spans="1:26" ht="15" x14ac:dyDescent="0.25">
      <c r="A917" s="143"/>
      <c r="B917" s="159"/>
      <c r="C917" s="156"/>
      <c r="D917" s="156"/>
      <c r="E917" s="156"/>
      <c r="F917" s="156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spans="1:26" ht="15" x14ac:dyDescent="0.25">
      <c r="A918" s="143"/>
      <c r="B918" s="159"/>
      <c r="C918" s="156"/>
      <c r="D918" s="156"/>
      <c r="E918" s="156"/>
      <c r="F918" s="156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spans="1:26" ht="15" x14ac:dyDescent="0.25">
      <c r="A919" s="143"/>
      <c r="B919" s="159"/>
      <c r="C919" s="156"/>
      <c r="D919" s="156"/>
      <c r="E919" s="156"/>
      <c r="F919" s="156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spans="1:26" ht="15" x14ac:dyDescent="0.25">
      <c r="A920" s="143"/>
      <c r="B920" s="159"/>
      <c r="C920" s="156"/>
      <c r="D920" s="156"/>
      <c r="E920" s="156"/>
      <c r="F920" s="156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spans="1:26" ht="15" x14ac:dyDescent="0.25">
      <c r="A921" s="143"/>
      <c r="B921" s="159"/>
      <c r="C921" s="156"/>
      <c r="D921" s="156"/>
      <c r="E921" s="156"/>
      <c r="F921" s="156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spans="1:26" ht="15" x14ac:dyDescent="0.25">
      <c r="A922" s="143"/>
      <c r="B922" s="159"/>
      <c r="C922" s="156"/>
      <c r="D922" s="156"/>
      <c r="E922" s="156"/>
      <c r="F922" s="156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spans="1:26" ht="15" x14ac:dyDescent="0.25">
      <c r="A923" s="143"/>
      <c r="B923" s="159"/>
      <c r="C923" s="156"/>
      <c r="D923" s="156"/>
      <c r="E923" s="156"/>
      <c r="F923" s="156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spans="1:26" ht="15" x14ac:dyDescent="0.25">
      <c r="A924" s="143"/>
      <c r="B924" s="159"/>
      <c r="C924" s="156"/>
      <c r="D924" s="156"/>
      <c r="E924" s="156"/>
      <c r="F924" s="156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spans="1:26" ht="15" x14ac:dyDescent="0.25">
      <c r="A925" s="143"/>
      <c r="B925" s="159"/>
      <c r="C925" s="156"/>
      <c r="D925" s="156"/>
      <c r="E925" s="156"/>
      <c r="F925" s="156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spans="1:26" ht="15" x14ac:dyDescent="0.25">
      <c r="A926" s="143"/>
      <c r="B926" s="159"/>
      <c r="C926" s="156"/>
      <c r="D926" s="156"/>
      <c r="E926" s="156"/>
      <c r="F926" s="156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spans="1:26" ht="15" x14ac:dyDescent="0.25">
      <c r="A927" s="143"/>
      <c r="B927" s="159"/>
      <c r="C927" s="156"/>
      <c r="D927" s="156"/>
      <c r="E927" s="156"/>
      <c r="F927" s="156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spans="1:26" ht="15" x14ac:dyDescent="0.25">
      <c r="A928" s="143"/>
      <c r="B928" s="159"/>
      <c r="C928" s="156"/>
      <c r="D928" s="156"/>
      <c r="E928" s="156"/>
      <c r="F928" s="156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spans="1:26" ht="15" x14ac:dyDescent="0.25">
      <c r="A929" s="143"/>
      <c r="B929" s="159"/>
      <c r="C929" s="156"/>
      <c r="D929" s="156"/>
      <c r="E929" s="156"/>
      <c r="F929" s="156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spans="1:26" ht="15" x14ac:dyDescent="0.25">
      <c r="A930" s="143"/>
      <c r="B930" s="159"/>
      <c r="C930" s="156"/>
      <c r="D930" s="156"/>
      <c r="E930" s="156"/>
      <c r="F930" s="156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spans="1:26" ht="15" x14ac:dyDescent="0.25">
      <c r="A931" s="143"/>
      <c r="B931" s="159"/>
      <c r="C931" s="156"/>
      <c r="D931" s="156"/>
      <c r="E931" s="156"/>
      <c r="F931" s="156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spans="1:26" ht="15" x14ac:dyDescent="0.25">
      <c r="A932" s="143"/>
      <c r="B932" s="159"/>
      <c r="C932" s="156"/>
      <c r="D932" s="156"/>
      <c r="E932" s="156"/>
      <c r="F932" s="156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spans="1:26" ht="15" x14ac:dyDescent="0.25">
      <c r="A933" s="143"/>
      <c r="B933" s="159"/>
      <c r="C933" s="156"/>
      <c r="D933" s="156"/>
      <c r="E933" s="156"/>
      <c r="F933" s="156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spans="1:26" ht="15" x14ac:dyDescent="0.25">
      <c r="A934" s="143"/>
      <c r="B934" s="159"/>
      <c r="C934" s="156"/>
      <c r="D934" s="156"/>
      <c r="E934" s="156"/>
      <c r="F934" s="156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spans="1:26" ht="15" x14ac:dyDescent="0.25">
      <c r="A935" s="143"/>
      <c r="B935" s="159"/>
      <c r="C935" s="156"/>
      <c r="D935" s="156"/>
      <c r="E935" s="156"/>
      <c r="F935" s="156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spans="1:26" ht="15" x14ac:dyDescent="0.25">
      <c r="A936" s="143"/>
      <c r="B936" s="159"/>
      <c r="C936" s="156"/>
      <c r="D936" s="156"/>
      <c r="E936" s="156"/>
      <c r="F936" s="156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spans="1:26" ht="15" x14ac:dyDescent="0.25">
      <c r="A937" s="143"/>
      <c r="B937" s="159"/>
      <c r="C937" s="156"/>
      <c r="D937" s="156"/>
      <c r="E937" s="156"/>
      <c r="F937" s="156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spans="1:26" ht="15" x14ac:dyDescent="0.25">
      <c r="A938" s="143"/>
      <c r="B938" s="159"/>
      <c r="C938" s="156"/>
      <c r="D938" s="156"/>
      <c r="E938" s="156"/>
      <c r="F938" s="156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spans="1:26" ht="15" x14ac:dyDescent="0.25">
      <c r="A939" s="143"/>
      <c r="B939" s="159"/>
      <c r="C939" s="156"/>
      <c r="D939" s="156"/>
      <c r="E939" s="156"/>
      <c r="F939" s="156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spans="1:26" ht="15" x14ac:dyDescent="0.25">
      <c r="A940" s="143"/>
      <c r="B940" s="159"/>
      <c r="C940" s="156"/>
      <c r="D940" s="156"/>
      <c r="E940" s="156"/>
      <c r="F940" s="156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spans="1:26" ht="15" x14ac:dyDescent="0.25">
      <c r="A941" s="143"/>
      <c r="B941" s="159"/>
      <c r="C941" s="156"/>
      <c r="D941" s="156"/>
      <c r="E941" s="156"/>
      <c r="F941" s="156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spans="1:26" ht="15" x14ac:dyDescent="0.25">
      <c r="A942" s="143"/>
      <c r="B942" s="159"/>
      <c r="C942" s="156"/>
      <c r="D942" s="156"/>
      <c r="E942" s="156"/>
      <c r="F942" s="156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spans="1:26" ht="15" x14ac:dyDescent="0.25">
      <c r="A943" s="143"/>
      <c r="B943" s="159"/>
      <c r="C943" s="156"/>
      <c r="D943" s="156"/>
      <c r="E943" s="156"/>
      <c r="F943" s="156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spans="1:26" ht="15" x14ac:dyDescent="0.25">
      <c r="A944" s="143"/>
      <c r="B944" s="159"/>
      <c r="C944" s="156"/>
      <c r="D944" s="156"/>
      <c r="E944" s="156"/>
      <c r="F944" s="156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spans="1:26" ht="15" x14ac:dyDescent="0.25">
      <c r="A945" s="143"/>
      <c r="B945" s="159"/>
      <c r="C945" s="156"/>
      <c r="D945" s="156"/>
      <c r="E945" s="156"/>
      <c r="F945" s="156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spans="1:26" ht="15" x14ac:dyDescent="0.25">
      <c r="A946" s="143"/>
      <c r="B946" s="159"/>
      <c r="C946" s="156"/>
      <c r="D946" s="156"/>
      <c r="E946" s="156"/>
      <c r="F946" s="156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spans="1:26" ht="15" x14ac:dyDescent="0.25">
      <c r="A947" s="143"/>
      <c r="B947" s="159"/>
      <c r="C947" s="156"/>
      <c r="D947" s="156"/>
      <c r="E947" s="156"/>
      <c r="F947" s="156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spans="1:26" ht="15" x14ac:dyDescent="0.25">
      <c r="A948" s="143"/>
      <c r="B948" s="159"/>
      <c r="C948" s="156"/>
      <c r="D948" s="156"/>
      <c r="E948" s="156"/>
      <c r="F948" s="156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spans="1:26" ht="15" x14ac:dyDescent="0.25">
      <c r="A949" s="143"/>
      <c r="B949" s="159"/>
      <c r="C949" s="156"/>
      <c r="D949" s="156"/>
      <c r="E949" s="156"/>
      <c r="F949" s="156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spans="1:26" ht="15" x14ac:dyDescent="0.25">
      <c r="A950" s="143"/>
      <c r="B950" s="159"/>
      <c r="C950" s="156"/>
      <c r="D950" s="156"/>
      <c r="E950" s="156"/>
      <c r="F950" s="156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spans="1:26" ht="15" x14ac:dyDescent="0.25">
      <c r="A951" s="143"/>
      <c r="B951" s="159"/>
      <c r="C951" s="156"/>
      <c r="D951" s="156"/>
      <c r="E951" s="156"/>
      <c r="F951" s="156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spans="1:26" ht="15" x14ac:dyDescent="0.25">
      <c r="A952" s="143"/>
      <c r="B952" s="159"/>
      <c r="C952" s="156"/>
      <c r="D952" s="156"/>
      <c r="E952" s="156"/>
      <c r="F952" s="156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spans="1:26" ht="15" x14ac:dyDescent="0.25">
      <c r="A953" s="143"/>
      <c r="B953" s="159"/>
      <c r="C953" s="156"/>
      <c r="D953" s="156"/>
      <c r="E953" s="156"/>
      <c r="F953" s="156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spans="1:26" ht="15" x14ac:dyDescent="0.25">
      <c r="A954" s="143"/>
      <c r="B954" s="159"/>
      <c r="C954" s="156"/>
      <c r="D954" s="156"/>
      <c r="E954" s="156"/>
      <c r="F954" s="156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spans="1:26" ht="15" x14ac:dyDescent="0.25">
      <c r="A955" s="143"/>
      <c r="B955" s="159"/>
      <c r="C955" s="156"/>
      <c r="D955" s="156"/>
      <c r="E955" s="156"/>
      <c r="F955" s="156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spans="1:26" ht="15" x14ac:dyDescent="0.25">
      <c r="A956" s="143"/>
      <c r="B956" s="159"/>
      <c r="C956" s="156"/>
      <c r="D956" s="156"/>
      <c r="E956" s="156"/>
      <c r="F956" s="156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spans="1:26" ht="15" x14ac:dyDescent="0.25">
      <c r="A957" s="143"/>
      <c r="B957" s="159"/>
      <c r="C957" s="156"/>
      <c r="D957" s="156"/>
      <c r="E957" s="156"/>
      <c r="F957" s="156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spans="1:26" ht="15" x14ac:dyDescent="0.25">
      <c r="A958" s="143"/>
      <c r="B958" s="159"/>
      <c r="C958" s="156"/>
      <c r="D958" s="156"/>
      <c r="E958" s="156"/>
      <c r="F958" s="156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spans="1:26" ht="15" x14ac:dyDescent="0.25">
      <c r="A959" s="143"/>
      <c r="B959" s="159"/>
      <c r="C959" s="156"/>
      <c r="D959" s="156"/>
      <c r="E959" s="156"/>
      <c r="F959" s="156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spans="1:26" ht="15" x14ac:dyDescent="0.25">
      <c r="A960" s="143"/>
      <c r="B960" s="159"/>
      <c r="C960" s="156"/>
      <c r="D960" s="156"/>
      <c r="E960" s="156"/>
      <c r="F960" s="156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spans="1:26" ht="15" x14ac:dyDescent="0.25">
      <c r="A961" s="143"/>
      <c r="B961" s="159"/>
      <c r="C961" s="156"/>
      <c r="D961" s="156"/>
      <c r="E961" s="156"/>
      <c r="F961" s="156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spans="1:26" ht="15" x14ac:dyDescent="0.25">
      <c r="A962" s="143"/>
      <c r="B962" s="159"/>
      <c r="C962" s="156"/>
      <c r="D962" s="156"/>
      <c r="E962" s="156"/>
      <c r="F962" s="156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spans="1:26" ht="15" x14ac:dyDescent="0.25">
      <c r="A963" s="143"/>
      <c r="B963" s="159"/>
      <c r="C963" s="156"/>
      <c r="D963" s="156"/>
      <c r="E963" s="156"/>
      <c r="F963" s="156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spans="1:26" ht="15" x14ac:dyDescent="0.25">
      <c r="A964" s="143"/>
      <c r="B964" s="159"/>
      <c r="C964" s="156"/>
      <c r="D964" s="156"/>
      <c r="E964" s="156"/>
      <c r="F964" s="156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spans="1:26" ht="15" x14ac:dyDescent="0.25">
      <c r="A965" s="143"/>
      <c r="B965" s="159"/>
      <c r="C965" s="156"/>
      <c r="D965" s="156"/>
      <c r="E965" s="156"/>
      <c r="F965" s="156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spans="1:26" ht="15" x14ac:dyDescent="0.25">
      <c r="A966" s="143"/>
      <c r="B966" s="159"/>
      <c r="C966" s="156"/>
      <c r="D966" s="156"/>
      <c r="E966" s="156"/>
      <c r="F966" s="156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spans="1:26" ht="15" x14ac:dyDescent="0.25">
      <c r="A967" s="143"/>
      <c r="B967" s="159"/>
      <c r="C967" s="156"/>
      <c r="D967" s="156"/>
      <c r="E967" s="156"/>
      <c r="F967" s="156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spans="1:26" ht="15" x14ac:dyDescent="0.25">
      <c r="A968" s="143"/>
      <c r="B968" s="159"/>
      <c r="C968" s="156"/>
      <c r="D968" s="156"/>
      <c r="E968" s="156"/>
      <c r="F968" s="156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spans="1:26" ht="15" x14ac:dyDescent="0.25">
      <c r="A969" s="143"/>
      <c r="B969" s="159"/>
      <c r="C969" s="156"/>
      <c r="D969" s="156"/>
      <c r="E969" s="156"/>
      <c r="F969" s="156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spans="1:26" ht="15" x14ac:dyDescent="0.25">
      <c r="A970" s="143"/>
      <c r="B970" s="159"/>
      <c r="C970" s="156"/>
      <c r="D970" s="156"/>
      <c r="E970" s="156"/>
      <c r="F970" s="156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spans="1:26" ht="15" x14ac:dyDescent="0.25">
      <c r="A971" s="143"/>
      <c r="B971" s="159"/>
      <c r="C971" s="156"/>
      <c r="D971" s="156"/>
      <c r="E971" s="156"/>
      <c r="F971" s="156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spans="1:26" ht="15" x14ac:dyDescent="0.25">
      <c r="A972" s="143"/>
      <c r="B972" s="159"/>
      <c r="C972" s="156"/>
      <c r="D972" s="156"/>
      <c r="E972" s="156"/>
      <c r="F972" s="156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spans="1:26" ht="15" x14ac:dyDescent="0.25">
      <c r="A973" s="143"/>
      <c r="B973" s="159"/>
      <c r="C973" s="156"/>
      <c r="D973" s="156"/>
      <c r="E973" s="156"/>
      <c r="F973" s="156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spans="1:26" ht="15" x14ac:dyDescent="0.25">
      <c r="A974" s="143"/>
      <c r="B974" s="159"/>
      <c r="C974" s="156"/>
      <c r="D974" s="156"/>
      <c r="E974" s="156"/>
      <c r="F974" s="156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spans="1:26" ht="15" x14ac:dyDescent="0.25">
      <c r="A975" s="143"/>
      <c r="B975" s="159"/>
      <c r="C975" s="156"/>
      <c r="D975" s="156"/>
      <c r="E975" s="156"/>
      <c r="F975" s="156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spans="1:26" ht="15" x14ac:dyDescent="0.25">
      <c r="A976" s="143"/>
      <c r="B976" s="159"/>
      <c r="C976" s="156"/>
      <c r="D976" s="156"/>
      <c r="E976" s="156"/>
      <c r="F976" s="156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spans="1:26" ht="15" x14ac:dyDescent="0.25">
      <c r="A977" s="143"/>
      <c r="B977" s="159"/>
      <c r="C977" s="156"/>
      <c r="D977" s="156"/>
      <c r="E977" s="156"/>
      <c r="F977" s="156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spans="1:26" ht="15" x14ac:dyDescent="0.25">
      <c r="A978" s="143"/>
      <c r="B978" s="159"/>
      <c r="C978" s="156"/>
      <c r="D978" s="156"/>
      <c r="E978" s="156"/>
      <c r="F978" s="156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spans="1:26" ht="15" x14ac:dyDescent="0.25">
      <c r="A979" s="143"/>
      <c r="B979" s="159"/>
      <c r="C979" s="156"/>
      <c r="D979" s="156"/>
      <c r="E979" s="156"/>
      <c r="F979" s="156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spans="1:26" ht="15" x14ac:dyDescent="0.25">
      <c r="A980" s="143"/>
      <c r="B980" s="159"/>
      <c r="C980" s="156"/>
      <c r="D980" s="156"/>
      <c r="E980" s="156"/>
      <c r="F980" s="156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spans="1:26" ht="15" x14ac:dyDescent="0.25">
      <c r="A981" s="143"/>
      <c r="B981" s="159"/>
      <c r="C981" s="156"/>
      <c r="D981" s="156"/>
      <c r="E981" s="156"/>
      <c r="F981" s="156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spans="1:26" ht="15" x14ac:dyDescent="0.25">
      <c r="A982" s="143"/>
      <c r="B982" s="159"/>
      <c r="C982" s="156"/>
      <c r="D982" s="156"/>
      <c r="E982" s="156"/>
      <c r="F982" s="156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spans="1:26" ht="15" x14ac:dyDescent="0.25">
      <c r="A983" s="143"/>
      <c r="B983" s="159"/>
      <c r="C983" s="156"/>
      <c r="D983" s="156"/>
      <c r="E983" s="156"/>
      <c r="F983" s="156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spans="1:26" ht="15" x14ac:dyDescent="0.25">
      <c r="A984" s="143"/>
      <c r="B984" s="159"/>
      <c r="C984" s="156"/>
      <c r="D984" s="156"/>
      <c r="E984" s="156"/>
      <c r="F984" s="156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spans="1:26" ht="15" x14ac:dyDescent="0.25">
      <c r="A985" s="143"/>
      <c r="B985" s="159"/>
      <c r="C985" s="156"/>
      <c r="D985" s="156"/>
      <c r="E985" s="156"/>
      <c r="F985" s="156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spans="1:26" ht="15" x14ac:dyDescent="0.25">
      <c r="A986" s="143"/>
      <c r="B986" s="159"/>
      <c r="C986" s="156"/>
      <c r="D986" s="156"/>
      <c r="E986" s="156"/>
      <c r="F986" s="156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spans="1:26" ht="15" x14ac:dyDescent="0.25">
      <c r="A987" s="143"/>
      <c r="B987" s="159"/>
      <c r="C987" s="156"/>
      <c r="D987" s="156"/>
      <c r="E987" s="156"/>
      <c r="F987" s="156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spans="1:26" ht="15" x14ac:dyDescent="0.25">
      <c r="A988" s="143"/>
      <c r="B988" s="159"/>
      <c r="C988" s="156"/>
      <c r="D988" s="156"/>
      <c r="E988" s="156"/>
      <c r="F988" s="156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spans="1:26" ht="15" x14ac:dyDescent="0.25">
      <c r="A989" s="143"/>
      <c r="B989" s="159"/>
      <c r="C989" s="156"/>
      <c r="D989" s="156"/>
      <c r="E989" s="156"/>
      <c r="F989" s="156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spans="1:26" ht="15" x14ac:dyDescent="0.25">
      <c r="A990" s="143"/>
      <c r="B990" s="159"/>
      <c r="C990" s="156"/>
      <c r="D990" s="156"/>
      <c r="E990" s="156"/>
      <c r="F990" s="156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spans="1:26" ht="15" x14ac:dyDescent="0.25">
      <c r="A991" s="143"/>
      <c r="B991" s="159"/>
      <c r="C991" s="156"/>
      <c r="D991" s="156"/>
      <c r="E991" s="156"/>
      <c r="F991" s="156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spans="1:26" ht="15" x14ac:dyDescent="0.25">
      <c r="A992" s="143"/>
      <c r="B992" s="159"/>
      <c r="C992" s="156"/>
      <c r="D992" s="156"/>
      <c r="E992" s="156"/>
      <c r="F992" s="156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spans="1:26" ht="15" x14ac:dyDescent="0.25">
      <c r="A993" s="143"/>
      <c r="B993" s="159"/>
      <c r="C993" s="156"/>
      <c r="D993" s="156"/>
      <c r="E993" s="156"/>
      <c r="F993" s="156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spans="1:26" ht="15" x14ac:dyDescent="0.25">
      <c r="A994" s="143"/>
      <c r="B994" s="159"/>
      <c r="C994" s="156"/>
      <c r="D994" s="156"/>
      <c r="E994" s="156"/>
      <c r="F994" s="156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spans="1:26" ht="15" x14ac:dyDescent="0.25">
      <c r="A995" s="143"/>
      <c r="B995" s="159"/>
      <c r="C995" s="156"/>
      <c r="D995" s="156"/>
      <c r="E995" s="156"/>
      <c r="F995" s="156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spans="1:26" ht="15" x14ac:dyDescent="0.25">
      <c r="A996" s="143"/>
      <c r="B996" s="159"/>
      <c r="C996" s="156"/>
      <c r="D996" s="156"/>
      <c r="E996" s="156"/>
      <c r="F996" s="156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spans="1:26" ht="15" x14ac:dyDescent="0.25">
      <c r="A997" s="143"/>
      <c r="B997" s="159"/>
      <c r="C997" s="156"/>
      <c r="D997" s="156"/>
      <c r="E997" s="156"/>
      <c r="F997" s="156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spans="1:26" ht="15" x14ac:dyDescent="0.25">
      <c r="A998" s="143"/>
      <c r="B998" s="159"/>
      <c r="C998" s="156"/>
      <c r="D998" s="156"/>
      <c r="E998" s="156"/>
      <c r="F998" s="156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spans="1:26" ht="15" x14ac:dyDescent="0.25">
      <c r="A999" s="143"/>
      <c r="B999" s="159"/>
      <c r="C999" s="156"/>
      <c r="D999" s="156"/>
      <c r="E999" s="156"/>
      <c r="F999" s="156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spans="1:26" ht="15" x14ac:dyDescent="0.25">
      <c r="A1000" s="143"/>
      <c r="B1000" s="159"/>
      <c r="C1000" s="156"/>
      <c r="D1000" s="156"/>
      <c r="E1000" s="156"/>
      <c r="F1000" s="156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46"/>
  <sheetViews>
    <sheetView topLeftCell="A27" workbookViewId="0"/>
  </sheetViews>
  <sheetFormatPr baseColWidth="10" defaultColWidth="14.44140625" defaultRowHeight="15.75" customHeight="1" x14ac:dyDescent="0.25"/>
  <cols>
    <col min="3" max="3" width="15.6640625" customWidth="1"/>
    <col min="8" max="8" width="3" customWidth="1"/>
  </cols>
  <sheetData>
    <row r="1" spans="2:14" ht="15.75" customHeight="1" x14ac:dyDescent="0.25">
      <c r="H1" s="179"/>
    </row>
    <row r="2" spans="2:14" ht="31.5" customHeight="1" x14ac:dyDescent="0.25">
      <c r="B2" s="318" t="s">
        <v>140</v>
      </c>
      <c r="C2" s="261"/>
      <c r="D2" s="261"/>
      <c r="E2" s="261"/>
      <c r="H2" s="179"/>
      <c r="J2" s="318" t="s">
        <v>141</v>
      </c>
      <c r="K2" s="261"/>
      <c r="L2" s="261"/>
      <c r="M2" s="261"/>
    </row>
    <row r="3" spans="2:14" ht="13.2" x14ac:dyDescent="0.25">
      <c r="B3" s="319" t="s">
        <v>142</v>
      </c>
      <c r="C3" s="261"/>
      <c r="D3" s="261"/>
      <c r="E3" s="261"/>
      <c r="F3" s="180">
        <f>D4</f>
        <v>2152800</v>
      </c>
      <c r="H3" s="179"/>
      <c r="J3" s="319" t="s">
        <v>142</v>
      </c>
      <c r="K3" s="261"/>
      <c r="L3" s="261"/>
      <c r="M3" s="261"/>
      <c r="N3" s="180">
        <f>L4</f>
        <v>3028800</v>
      </c>
    </row>
    <row r="4" spans="2:14" ht="13.2" x14ac:dyDescent="0.25">
      <c r="B4" s="312" t="s">
        <v>143</v>
      </c>
      <c r="C4" s="261"/>
      <c r="D4" s="320">
        <f>SUM(TESORERIA!D5:O5)</f>
        <v>2152800</v>
      </c>
      <c r="E4" s="261"/>
      <c r="H4" s="179"/>
      <c r="J4" s="312" t="s">
        <v>143</v>
      </c>
      <c r="K4" s="261"/>
      <c r="L4" s="320">
        <f>TESORERIA!P5</f>
        <v>3028800</v>
      </c>
      <c r="M4" s="261"/>
    </row>
    <row r="5" spans="2:14" ht="13.2" x14ac:dyDescent="0.25">
      <c r="B5" s="319" t="s">
        <v>144</v>
      </c>
      <c r="C5" s="261"/>
      <c r="D5" s="261"/>
      <c r="E5" s="261"/>
      <c r="F5" s="181">
        <f>SUM(D6:E12)</f>
        <v>2176264.4500000002</v>
      </c>
      <c r="H5" s="179"/>
      <c r="J5" s="319" t="s">
        <v>144</v>
      </c>
      <c r="K5" s="261"/>
      <c r="L5" s="261"/>
      <c r="M5" s="261"/>
      <c r="N5" s="182">
        <f>SUM(L6:M12)</f>
        <v>2732466.5</v>
      </c>
    </row>
    <row r="6" spans="2:14" ht="13.2" x14ac:dyDescent="0.25">
      <c r="B6" s="312" t="s">
        <v>145</v>
      </c>
      <c r="C6" s="261"/>
      <c r="D6" s="321">
        <f>SUM(TESORERIA!D20:O20)</f>
        <v>954000</v>
      </c>
      <c r="E6" s="261"/>
      <c r="H6" s="179"/>
      <c r="J6" s="312" t="s">
        <v>145</v>
      </c>
      <c r="K6" s="261"/>
      <c r="L6" s="321">
        <f>TESORERIA!P20</f>
        <v>1346100</v>
      </c>
      <c r="M6" s="261"/>
    </row>
    <row r="7" spans="2:14" ht="13.2" x14ac:dyDescent="0.25">
      <c r="B7" s="312" t="s">
        <v>146</v>
      </c>
      <c r="C7" s="261"/>
      <c r="D7" s="321">
        <f>SUM(TESORERIA!D11:O11)</f>
        <v>50700</v>
      </c>
      <c r="E7" s="261"/>
      <c r="H7" s="179"/>
      <c r="J7" s="312" t="s">
        <v>146</v>
      </c>
      <c r="K7" s="261"/>
      <c r="L7" s="321">
        <f>TESORERIA!P11</f>
        <v>50700</v>
      </c>
      <c r="M7" s="261"/>
    </row>
    <row r="8" spans="2:14" ht="13.2" x14ac:dyDescent="0.25">
      <c r="B8" s="312" t="s">
        <v>147</v>
      </c>
      <c r="C8" s="261"/>
      <c r="D8" s="321">
        <f>SUM(TESORERIA!D17:O17)</f>
        <v>412500</v>
      </c>
      <c r="E8" s="261"/>
      <c r="H8" s="179"/>
      <c r="J8" s="312" t="s">
        <v>147</v>
      </c>
      <c r="K8" s="261"/>
      <c r="L8" s="321">
        <f>TESORERIA!P17</f>
        <v>576600</v>
      </c>
      <c r="M8" s="261"/>
    </row>
    <row r="9" spans="2:14" ht="13.2" x14ac:dyDescent="0.25">
      <c r="B9" s="312" t="s">
        <v>148</v>
      </c>
      <c r="C9" s="261"/>
      <c r="D9" s="321">
        <f>SUM(TESORERIA!D12:O12)</f>
        <v>672000</v>
      </c>
      <c r="E9" s="261"/>
      <c r="H9" s="179"/>
      <c r="J9" s="312" t="s">
        <v>148</v>
      </c>
      <c r="K9" s="261"/>
      <c r="L9" s="321">
        <f>TESORERIA!P12</f>
        <v>672000</v>
      </c>
      <c r="M9" s="261"/>
    </row>
    <row r="10" spans="2:14" ht="13.2" x14ac:dyDescent="0.25">
      <c r="B10" s="312" t="s">
        <v>149</v>
      </c>
      <c r="C10" s="261"/>
      <c r="D10" s="321">
        <f>SUM(TESORERIA!D16:O16)</f>
        <v>43200</v>
      </c>
      <c r="E10" s="261"/>
      <c r="H10" s="179"/>
      <c r="J10" s="312" t="s">
        <v>149</v>
      </c>
      <c r="K10" s="261"/>
      <c r="L10" s="321">
        <f>TESORERIA!P16</f>
        <v>43200</v>
      </c>
      <c r="M10" s="261"/>
    </row>
    <row r="11" spans="2:14" ht="13.2" x14ac:dyDescent="0.25">
      <c r="B11" s="312" t="s">
        <v>150</v>
      </c>
      <c r="C11" s="261"/>
      <c r="D11" s="321">
        <f>'VENTA Y GASTO'!D31</f>
        <v>43860</v>
      </c>
      <c r="E11" s="261"/>
      <c r="H11" s="179"/>
      <c r="J11" s="312" t="s">
        <v>150</v>
      </c>
      <c r="K11" s="261"/>
      <c r="L11" s="321">
        <f>'VENTA Y GASTO'!D31</f>
        <v>43860</v>
      </c>
      <c r="M11" s="261"/>
    </row>
    <row r="12" spans="2:14" ht="13.2" x14ac:dyDescent="0.25">
      <c r="B12" s="312" t="s">
        <v>151</v>
      </c>
      <c r="C12" s="261"/>
      <c r="D12" s="314">
        <f>'VENTA Y GASTO'!D32</f>
        <v>4.45</v>
      </c>
      <c r="E12" s="261"/>
      <c r="H12" s="179"/>
      <c r="J12" s="312" t="s">
        <v>152</v>
      </c>
      <c r="K12" s="261"/>
      <c r="L12" s="325">
        <f>'VENTA Y GASTO'!F32</f>
        <v>6.5</v>
      </c>
      <c r="M12" s="261"/>
    </row>
    <row r="13" spans="2:14" ht="13.2" x14ac:dyDescent="0.25">
      <c r="B13" s="322" t="s">
        <v>153</v>
      </c>
      <c r="C13" s="261"/>
      <c r="D13" s="261"/>
      <c r="E13" s="261"/>
      <c r="F13" s="185">
        <f>D4-F5</f>
        <v>-23464.450000000186</v>
      </c>
      <c r="H13" s="179"/>
      <c r="J13" s="322" t="s">
        <v>153</v>
      </c>
      <c r="K13" s="261"/>
      <c r="L13" s="261"/>
      <c r="M13" s="261"/>
      <c r="N13" s="185">
        <f>N3-N5</f>
        <v>296333.5</v>
      </c>
    </row>
    <row r="14" spans="2:14" ht="13.2" x14ac:dyDescent="0.25">
      <c r="B14" s="313" t="s">
        <v>154</v>
      </c>
      <c r="C14" s="261"/>
      <c r="D14" s="261"/>
      <c r="E14" s="261"/>
      <c r="F14" s="186">
        <f>D15</f>
        <v>0</v>
      </c>
      <c r="H14" s="179"/>
      <c r="J14" s="313" t="s">
        <v>154</v>
      </c>
      <c r="K14" s="261"/>
      <c r="L14" s="261"/>
      <c r="M14" s="261"/>
      <c r="N14" s="186">
        <f>L15</f>
        <v>0</v>
      </c>
    </row>
    <row r="15" spans="2:14" ht="13.2" x14ac:dyDescent="0.25">
      <c r="B15" s="312"/>
      <c r="C15" s="261"/>
      <c r="D15" s="312">
        <v>0</v>
      </c>
      <c r="E15" s="261"/>
      <c r="H15" s="179"/>
      <c r="J15" s="312"/>
      <c r="K15" s="261"/>
      <c r="L15" s="312">
        <v>0</v>
      </c>
      <c r="M15" s="261"/>
    </row>
    <row r="16" spans="2:14" ht="13.2" x14ac:dyDescent="0.25">
      <c r="B16" s="313" t="s">
        <v>155</v>
      </c>
      <c r="C16" s="261"/>
      <c r="D16" s="261"/>
      <c r="E16" s="261"/>
      <c r="F16" s="186">
        <f>D17</f>
        <v>12553.39062234335</v>
      </c>
      <c r="H16" s="179"/>
      <c r="J16" s="313" t="s">
        <v>155</v>
      </c>
      <c r="K16" s="261"/>
      <c r="L16" s="261"/>
      <c r="M16" s="261"/>
      <c r="N16" s="186">
        <f>L17</f>
        <v>7795.2134605800211</v>
      </c>
    </row>
    <row r="17" spans="1:17" ht="13.2" x14ac:dyDescent="0.25">
      <c r="B17" s="312" t="s">
        <v>156</v>
      </c>
      <c r="C17" s="261"/>
      <c r="D17" s="314">
        <f>PRESTAMO!I18</f>
        <v>12553.39062234335</v>
      </c>
      <c r="E17" s="261"/>
      <c r="H17" s="179"/>
      <c r="J17" s="312" t="s">
        <v>156</v>
      </c>
      <c r="K17" s="261"/>
      <c r="L17" s="314">
        <f>PRESTAMO!I30</f>
        <v>7795.2134605800211</v>
      </c>
      <c r="M17" s="261"/>
    </row>
    <row r="18" spans="1:17" ht="13.2" x14ac:dyDescent="0.25">
      <c r="B18" s="315" t="s">
        <v>157</v>
      </c>
      <c r="C18" s="261"/>
      <c r="D18" s="261"/>
      <c r="E18" s="261"/>
      <c r="F18" s="187">
        <f>F14-F16</f>
        <v>-12553.39062234335</v>
      </c>
      <c r="H18" s="179"/>
      <c r="J18" s="315" t="s">
        <v>157</v>
      </c>
      <c r="K18" s="261"/>
      <c r="L18" s="261"/>
      <c r="M18" s="261"/>
      <c r="N18" s="187">
        <f>N14-N16</f>
        <v>-7795.2134605800211</v>
      </c>
    </row>
    <row r="19" spans="1:17" ht="13.2" x14ac:dyDescent="0.25">
      <c r="B19" s="316" t="s">
        <v>158</v>
      </c>
      <c r="C19" s="261"/>
      <c r="D19" s="261"/>
      <c r="E19" s="261"/>
      <c r="F19" s="188">
        <f>F13+F18</f>
        <v>-36017.840622343538</v>
      </c>
      <c r="H19" s="179"/>
      <c r="J19" s="316" t="s">
        <v>158</v>
      </c>
      <c r="K19" s="261"/>
      <c r="L19" s="261"/>
      <c r="M19" s="261"/>
      <c r="N19" s="188">
        <f>N13+N18</f>
        <v>288538.28653941996</v>
      </c>
    </row>
    <row r="20" spans="1:17" ht="13.2" x14ac:dyDescent="0.25">
      <c r="B20" s="312" t="s">
        <v>159</v>
      </c>
      <c r="C20" s="261"/>
      <c r="D20" s="317">
        <v>0</v>
      </c>
      <c r="E20" s="261"/>
      <c r="H20" s="179"/>
      <c r="J20" s="312" t="s">
        <v>159</v>
      </c>
      <c r="K20" s="261"/>
      <c r="L20" s="317">
        <f>N19*0.25</f>
        <v>72134.57163485499</v>
      </c>
      <c r="M20" s="261"/>
    </row>
    <row r="21" spans="1:17" ht="13.2" x14ac:dyDescent="0.25">
      <c r="B21" s="316" t="s">
        <v>160</v>
      </c>
      <c r="C21" s="261"/>
      <c r="D21" s="261"/>
      <c r="E21" s="261"/>
      <c r="F21" s="188">
        <f>F19</f>
        <v>-36017.840622343538</v>
      </c>
      <c r="H21" s="179"/>
      <c r="J21" s="316" t="s">
        <v>160</v>
      </c>
      <c r="K21" s="261"/>
      <c r="L21" s="261"/>
      <c r="M21" s="261"/>
      <c r="N21" s="188">
        <f>N19-L20</f>
        <v>216403.71490456496</v>
      </c>
    </row>
    <row r="22" spans="1:17" ht="13.2" x14ac:dyDescent="0.25">
      <c r="H22" s="179"/>
    </row>
    <row r="23" spans="1:17" ht="13.2" x14ac:dyDescent="0.25">
      <c r="H23" s="179"/>
    </row>
    <row r="24" spans="1:17" ht="13.2" x14ac:dyDescent="0.25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</row>
    <row r="25" spans="1:17" ht="31.5" customHeight="1" x14ac:dyDescent="0.25">
      <c r="H25" s="179"/>
    </row>
    <row r="26" spans="1:17" ht="31.5" customHeight="1" x14ac:dyDescent="0.25">
      <c r="B26" s="318" t="s">
        <v>161</v>
      </c>
      <c r="C26" s="261"/>
      <c r="D26" s="261"/>
      <c r="E26" s="261"/>
      <c r="H26" s="179"/>
      <c r="I26" s="3" t="s">
        <v>162</v>
      </c>
      <c r="J26" s="324" t="s">
        <v>163</v>
      </c>
      <c r="K26" s="261"/>
      <c r="L26" s="323" t="s">
        <v>13</v>
      </c>
      <c r="M26" s="261"/>
      <c r="N26" s="323" t="s">
        <v>14</v>
      </c>
      <c r="O26" s="261"/>
      <c r="P26" s="323" t="s">
        <v>15</v>
      </c>
      <c r="Q26" s="261"/>
    </row>
    <row r="27" spans="1:17" ht="13.2" x14ac:dyDescent="0.25">
      <c r="B27" s="319" t="s">
        <v>142</v>
      </c>
      <c r="C27" s="261"/>
      <c r="D27" s="261"/>
      <c r="E27" s="261"/>
      <c r="F27" s="180">
        <f>D28</f>
        <v>4521600</v>
      </c>
      <c r="H27" s="179"/>
      <c r="J27" s="319" t="s">
        <v>142</v>
      </c>
      <c r="K27" s="261"/>
      <c r="L27" s="261"/>
      <c r="M27" s="180">
        <f>F3</f>
        <v>2152800</v>
      </c>
      <c r="N27" s="190"/>
      <c r="O27" s="180">
        <f>N3</f>
        <v>3028800</v>
      </c>
      <c r="P27" s="190"/>
      <c r="Q27" s="180">
        <f t="shared" ref="Q27:Q45" si="0">F27</f>
        <v>4521600</v>
      </c>
    </row>
    <row r="28" spans="1:17" ht="13.2" x14ac:dyDescent="0.25">
      <c r="B28" s="312" t="s">
        <v>143</v>
      </c>
      <c r="C28" s="261"/>
      <c r="D28" s="320">
        <f>TESORERIA!Q5</f>
        <v>4521600</v>
      </c>
      <c r="E28" s="261"/>
      <c r="H28" s="179"/>
      <c r="J28" s="312" t="s">
        <v>143</v>
      </c>
      <c r="K28" s="261"/>
      <c r="L28" s="138">
        <f>D4</f>
        <v>2152800</v>
      </c>
      <c r="N28" s="138">
        <f t="shared" ref="N28:N44" si="1">L4</f>
        <v>3028800</v>
      </c>
      <c r="P28" s="138">
        <f t="shared" ref="P28:P44" si="2">D28</f>
        <v>4521600</v>
      </c>
      <c r="Q28" s="3">
        <f t="shared" si="0"/>
        <v>0</v>
      </c>
    </row>
    <row r="29" spans="1:17" ht="13.2" x14ac:dyDescent="0.25">
      <c r="B29" s="319" t="s">
        <v>144</v>
      </c>
      <c r="C29" s="261"/>
      <c r="D29" s="261"/>
      <c r="E29" s="261"/>
      <c r="F29" s="182">
        <f>SUM(D30:E36)</f>
        <v>3671766.5</v>
      </c>
      <c r="H29" s="179"/>
      <c r="J29" s="319" t="s">
        <v>144</v>
      </c>
      <c r="K29" s="261"/>
      <c r="L29" s="261"/>
      <c r="M29" s="181">
        <f>F5</f>
        <v>2176264.4500000002</v>
      </c>
      <c r="N29" s="190">
        <f t="shared" si="1"/>
        <v>0</v>
      </c>
      <c r="O29" s="181">
        <f>N5</f>
        <v>2732466.5</v>
      </c>
      <c r="P29" s="190">
        <f t="shared" si="2"/>
        <v>0</v>
      </c>
      <c r="Q29" s="181">
        <f t="shared" si="0"/>
        <v>3671766.5</v>
      </c>
    </row>
    <row r="30" spans="1:17" ht="13.2" x14ac:dyDescent="0.25">
      <c r="B30" s="312" t="s">
        <v>145</v>
      </c>
      <c r="C30" s="261"/>
      <c r="D30" s="321">
        <f>TESORERIA!Q20</f>
        <v>2012100</v>
      </c>
      <c r="E30" s="261"/>
      <c r="H30" s="179"/>
      <c r="J30" s="312" t="s">
        <v>145</v>
      </c>
      <c r="K30" s="261"/>
      <c r="L30" s="183">
        <f t="shared" ref="L30:L36" si="3">D6</f>
        <v>954000</v>
      </c>
      <c r="N30" s="183">
        <f t="shared" si="1"/>
        <v>1346100</v>
      </c>
      <c r="P30" s="183">
        <f t="shared" si="2"/>
        <v>2012100</v>
      </c>
      <c r="Q30" s="3">
        <f t="shared" si="0"/>
        <v>0</v>
      </c>
    </row>
    <row r="31" spans="1:17" ht="13.2" x14ac:dyDescent="0.25">
      <c r="B31" s="312" t="s">
        <v>146</v>
      </c>
      <c r="C31" s="261"/>
      <c r="D31" s="321">
        <f>TESORERIA!P11</f>
        <v>50700</v>
      </c>
      <c r="E31" s="261"/>
      <c r="H31" s="179"/>
      <c r="J31" s="312" t="s">
        <v>146</v>
      </c>
      <c r="K31" s="261"/>
      <c r="L31" s="183">
        <f t="shared" si="3"/>
        <v>50700</v>
      </c>
      <c r="N31" s="183">
        <f t="shared" si="1"/>
        <v>50700</v>
      </c>
      <c r="P31" s="183">
        <f t="shared" si="2"/>
        <v>50700</v>
      </c>
      <c r="Q31" s="3">
        <f t="shared" si="0"/>
        <v>0</v>
      </c>
    </row>
    <row r="32" spans="1:17" ht="13.2" x14ac:dyDescent="0.25">
      <c r="B32" s="312" t="s">
        <v>147</v>
      </c>
      <c r="C32" s="261"/>
      <c r="D32" s="321">
        <f>TESORERIA!Q17</f>
        <v>849900</v>
      </c>
      <c r="E32" s="261"/>
      <c r="H32" s="179"/>
      <c r="J32" s="312" t="s">
        <v>147</v>
      </c>
      <c r="K32" s="261"/>
      <c r="L32" s="183">
        <f t="shared" si="3"/>
        <v>412500</v>
      </c>
      <c r="N32" s="183">
        <f t="shared" si="1"/>
        <v>576600</v>
      </c>
      <c r="P32" s="183">
        <f t="shared" si="2"/>
        <v>849900</v>
      </c>
      <c r="Q32" s="3">
        <f t="shared" si="0"/>
        <v>0</v>
      </c>
    </row>
    <row r="33" spans="2:17" ht="13.2" x14ac:dyDescent="0.25">
      <c r="B33" s="312" t="s">
        <v>148</v>
      </c>
      <c r="C33" s="261"/>
      <c r="D33" s="321">
        <f>TESORERIA!Q12</f>
        <v>672000</v>
      </c>
      <c r="E33" s="261"/>
      <c r="H33" s="179"/>
      <c r="J33" s="312" t="s">
        <v>148</v>
      </c>
      <c r="K33" s="261"/>
      <c r="L33" s="183">
        <f t="shared" si="3"/>
        <v>672000</v>
      </c>
      <c r="N33" s="183">
        <f t="shared" si="1"/>
        <v>672000</v>
      </c>
      <c r="P33" s="183">
        <f t="shared" si="2"/>
        <v>672000</v>
      </c>
      <c r="Q33" s="3">
        <f t="shared" si="0"/>
        <v>0</v>
      </c>
    </row>
    <row r="34" spans="2:17" ht="13.2" x14ac:dyDescent="0.25">
      <c r="B34" s="312" t="s">
        <v>149</v>
      </c>
      <c r="C34" s="261"/>
      <c r="D34" s="321">
        <f>TESORERIA!Q16</f>
        <v>43200</v>
      </c>
      <c r="E34" s="261"/>
      <c r="H34" s="179"/>
      <c r="J34" s="312" t="s">
        <v>149</v>
      </c>
      <c r="K34" s="261"/>
      <c r="L34" s="183">
        <f t="shared" si="3"/>
        <v>43200</v>
      </c>
      <c r="N34" s="183">
        <f t="shared" si="1"/>
        <v>43200</v>
      </c>
      <c r="P34" s="183">
        <f t="shared" si="2"/>
        <v>43200</v>
      </c>
      <c r="Q34" s="3">
        <f t="shared" si="0"/>
        <v>0</v>
      </c>
    </row>
    <row r="35" spans="2:17" ht="13.2" x14ac:dyDescent="0.25">
      <c r="B35" s="312" t="s">
        <v>150</v>
      </c>
      <c r="C35" s="261"/>
      <c r="D35" s="321">
        <f>'VENTA Y GASTO'!D31</f>
        <v>43860</v>
      </c>
      <c r="E35" s="261"/>
      <c r="H35" s="179"/>
      <c r="J35" s="312" t="s">
        <v>150</v>
      </c>
      <c r="K35" s="261"/>
      <c r="L35" s="183">
        <f t="shared" si="3"/>
        <v>43860</v>
      </c>
      <c r="N35" s="183">
        <f t="shared" si="1"/>
        <v>43860</v>
      </c>
      <c r="P35" s="183">
        <f t="shared" si="2"/>
        <v>43860</v>
      </c>
      <c r="Q35" s="3">
        <f t="shared" si="0"/>
        <v>0</v>
      </c>
    </row>
    <row r="36" spans="2:17" ht="13.2" x14ac:dyDescent="0.25">
      <c r="B36" s="312" t="s">
        <v>151</v>
      </c>
      <c r="C36" s="261"/>
      <c r="D36" s="320">
        <f>'VENTA Y GASTO'!H32</f>
        <v>6.5</v>
      </c>
      <c r="E36" s="261"/>
      <c r="H36" s="179"/>
      <c r="J36" s="312" t="s">
        <v>151</v>
      </c>
      <c r="K36" s="261"/>
      <c r="L36" s="183">
        <f t="shared" si="3"/>
        <v>4.45</v>
      </c>
      <c r="N36" s="184">
        <f t="shared" si="1"/>
        <v>6.5</v>
      </c>
      <c r="P36" s="138">
        <f t="shared" si="2"/>
        <v>6.5</v>
      </c>
      <c r="Q36" s="3">
        <f t="shared" si="0"/>
        <v>0</v>
      </c>
    </row>
    <row r="37" spans="2:17" ht="13.2" x14ac:dyDescent="0.25">
      <c r="B37" s="322" t="s">
        <v>153</v>
      </c>
      <c r="C37" s="261"/>
      <c r="D37" s="261"/>
      <c r="E37" s="261"/>
      <c r="F37" s="185">
        <f>F27-F29</f>
        <v>849833.5</v>
      </c>
      <c r="H37" s="179"/>
      <c r="J37" s="322" t="s">
        <v>153</v>
      </c>
      <c r="K37" s="261"/>
      <c r="L37" s="261"/>
      <c r="M37" s="185">
        <f>F13</f>
        <v>-23464.450000000186</v>
      </c>
      <c r="N37" s="191">
        <f t="shared" si="1"/>
        <v>0</v>
      </c>
      <c r="O37" s="185">
        <f t="shared" ref="O37:O38" si="4">N13</f>
        <v>296333.5</v>
      </c>
      <c r="P37" s="191">
        <f t="shared" si="2"/>
        <v>0</v>
      </c>
      <c r="Q37" s="185">
        <f t="shared" si="0"/>
        <v>849833.5</v>
      </c>
    </row>
    <row r="38" spans="2:17" ht="13.2" x14ac:dyDescent="0.25">
      <c r="B38" s="313" t="s">
        <v>154</v>
      </c>
      <c r="C38" s="261"/>
      <c r="D38" s="261"/>
      <c r="E38" s="261"/>
      <c r="F38" s="186">
        <f>D39</f>
        <v>0</v>
      </c>
      <c r="H38" s="179"/>
      <c r="J38" s="313" t="s">
        <v>154</v>
      </c>
      <c r="K38" s="261"/>
      <c r="L38" s="261"/>
      <c r="M38" s="192">
        <v>0</v>
      </c>
      <c r="N38" s="193">
        <f t="shared" si="1"/>
        <v>0</v>
      </c>
      <c r="O38" s="186">
        <f t="shared" si="4"/>
        <v>0</v>
      </c>
      <c r="P38" s="193">
        <f t="shared" si="2"/>
        <v>0</v>
      </c>
      <c r="Q38" s="186">
        <f t="shared" si="0"/>
        <v>0</v>
      </c>
    </row>
    <row r="39" spans="2:17" ht="13.2" x14ac:dyDescent="0.25">
      <c r="B39" s="312"/>
      <c r="C39" s="261"/>
      <c r="D39" s="312">
        <v>0</v>
      </c>
      <c r="E39" s="261"/>
      <c r="H39" s="179"/>
      <c r="J39" s="312"/>
      <c r="K39" s="261"/>
      <c r="L39" s="194">
        <v>0</v>
      </c>
      <c r="N39" s="3">
        <f t="shared" si="1"/>
        <v>0</v>
      </c>
      <c r="P39" s="3">
        <f t="shared" si="2"/>
        <v>0</v>
      </c>
      <c r="Q39" s="3">
        <f t="shared" si="0"/>
        <v>0</v>
      </c>
    </row>
    <row r="40" spans="2:17" ht="13.2" x14ac:dyDescent="0.25">
      <c r="B40" s="313" t="s">
        <v>155</v>
      </c>
      <c r="C40" s="261"/>
      <c r="D40" s="261"/>
      <c r="E40" s="261"/>
      <c r="F40" s="195">
        <f>D41</f>
        <v>2799.1248801928759</v>
      </c>
      <c r="H40" s="179"/>
      <c r="J40" s="313" t="s">
        <v>155</v>
      </c>
      <c r="K40" s="261"/>
      <c r="L40" s="261"/>
      <c r="M40" s="186">
        <f>F16</f>
        <v>12553.39062234335</v>
      </c>
      <c r="N40" s="193">
        <f t="shared" si="1"/>
        <v>0</v>
      </c>
      <c r="O40" s="186">
        <f>N16</f>
        <v>7795.2134605800211</v>
      </c>
      <c r="P40" s="193">
        <f t="shared" si="2"/>
        <v>0</v>
      </c>
      <c r="Q40" s="186">
        <f t="shared" si="0"/>
        <v>2799.1248801928759</v>
      </c>
    </row>
    <row r="41" spans="2:17" ht="13.2" x14ac:dyDescent="0.25">
      <c r="B41" s="312" t="s">
        <v>156</v>
      </c>
      <c r="C41" s="261"/>
      <c r="D41" s="312">
        <f>PRESTAMO!I42</f>
        <v>2799.1248801928759</v>
      </c>
      <c r="E41" s="261"/>
      <c r="H41" s="179"/>
      <c r="J41" s="312" t="s">
        <v>156</v>
      </c>
      <c r="K41" s="261"/>
      <c r="L41" s="137">
        <f>D17</f>
        <v>12553.39062234335</v>
      </c>
      <c r="N41" s="137">
        <f t="shared" si="1"/>
        <v>7795.2134605800211</v>
      </c>
      <c r="P41" s="3">
        <f t="shared" si="2"/>
        <v>2799.1248801928759</v>
      </c>
      <c r="Q41" s="3">
        <f t="shared" si="0"/>
        <v>0</v>
      </c>
    </row>
    <row r="42" spans="2:17" ht="13.2" x14ac:dyDescent="0.25">
      <c r="B42" s="315" t="s">
        <v>157</v>
      </c>
      <c r="C42" s="261"/>
      <c r="D42" s="261"/>
      <c r="E42" s="261"/>
      <c r="F42" s="187">
        <f>F38-F40</f>
        <v>-2799.1248801928759</v>
      </c>
      <c r="H42" s="179"/>
      <c r="J42" s="315" t="s">
        <v>157</v>
      </c>
      <c r="K42" s="261"/>
      <c r="L42" s="261"/>
      <c r="M42" s="187">
        <f t="shared" ref="M42:M43" si="5">F18</f>
        <v>-12553.39062234335</v>
      </c>
      <c r="N42" s="196">
        <f t="shared" si="1"/>
        <v>0</v>
      </c>
      <c r="O42" s="187">
        <f t="shared" ref="O42:O43" si="6">N18</f>
        <v>-7795.2134605800211</v>
      </c>
      <c r="P42" s="196">
        <f t="shared" si="2"/>
        <v>0</v>
      </c>
      <c r="Q42" s="187">
        <f t="shared" si="0"/>
        <v>-2799.1248801928759</v>
      </c>
    </row>
    <row r="43" spans="2:17" ht="13.2" x14ac:dyDescent="0.25">
      <c r="B43" s="316" t="s">
        <v>158</v>
      </c>
      <c r="C43" s="261"/>
      <c r="D43" s="261"/>
      <c r="E43" s="261"/>
      <c r="F43" s="188">
        <f>F37+F42</f>
        <v>847034.37511980708</v>
      </c>
      <c r="H43" s="179"/>
      <c r="J43" s="316" t="s">
        <v>158</v>
      </c>
      <c r="K43" s="261"/>
      <c r="L43" s="261"/>
      <c r="M43" s="188">
        <f t="shared" si="5"/>
        <v>-36017.840622343538</v>
      </c>
      <c r="N43" s="197">
        <f t="shared" si="1"/>
        <v>0</v>
      </c>
      <c r="O43" s="188">
        <f t="shared" si="6"/>
        <v>288538.28653941996</v>
      </c>
      <c r="P43" s="197">
        <f t="shared" si="2"/>
        <v>0</v>
      </c>
      <c r="Q43" s="188">
        <f t="shared" si="0"/>
        <v>847034.37511980708</v>
      </c>
    </row>
    <row r="44" spans="2:17" ht="13.2" x14ac:dyDescent="0.25">
      <c r="B44" s="312" t="s">
        <v>159</v>
      </c>
      <c r="C44" s="261"/>
      <c r="D44" s="317">
        <f>F43*0.25</f>
        <v>211758.59377995177</v>
      </c>
      <c r="E44" s="261"/>
      <c r="H44" s="179"/>
      <c r="J44" s="312" t="s">
        <v>164</v>
      </c>
      <c r="K44" s="261"/>
      <c r="L44" s="189">
        <f>D20</f>
        <v>0</v>
      </c>
      <c r="N44" s="189">
        <f t="shared" si="1"/>
        <v>72134.57163485499</v>
      </c>
      <c r="P44" s="189">
        <f t="shared" si="2"/>
        <v>211758.59377995177</v>
      </c>
      <c r="Q44" s="3">
        <f t="shared" si="0"/>
        <v>0</v>
      </c>
    </row>
    <row r="45" spans="2:17" ht="13.2" x14ac:dyDescent="0.25">
      <c r="B45" s="316" t="s">
        <v>160</v>
      </c>
      <c r="C45" s="261"/>
      <c r="D45" s="261"/>
      <c r="E45" s="261"/>
      <c r="F45" s="188">
        <f>F43-D44</f>
        <v>635275.78133985528</v>
      </c>
      <c r="H45" s="179"/>
      <c r="J45" s="316" t="s">
        <v>160</v>
      </c>
      <c r="K45" s="261"/>
      <c r="L45" s="261"/>
      <c r="M45" s="188">
        <f>F21</f>
        <v>-36017.840622343538</v>
      </c>
      <c r="N45" s="197"/>
      <c r="O45" s="188">
        <f>N21</f>
        <v>216403.71490456496</v>
      </c>
      <c r="P45" s="197"/>
      <c r="Q45" s="188">
        <f t="shared" si="0"/>
        <v>635275.78133985528</v>
      </c>
    </row>
    <row r="46" spans="2:17" ht="13.2" x14ac:dyDescent="0.25">
      <c r="H46" s="179"/>
    </row>
  </sheetData>
  <mergeCells count="116">
    <mergeCell ref="J31:K31"/>
    <mergeCell ref="J30:K30"/>
    <mergeCell ref="J41:K41"/>
    <mergeCell ref="J35:K35"/>
    <mergeCell ref="L26:M26"/>
    <mergeCell ref="N26:O26"/>
    <mergeCell ref="P26:Q26"/>
    <mergeCell ref="L17:M17"/>
    <mergeCell ref="J18:M18"/>
    <mergeCell ref="J45:L45"/>
    <mergeCell ref="J44:K44"/>
    <mergeCell ref="J40:L40"/>
    <mergeCell ref="J27:L27"/>
    <mergeCell ref="J26:K26"/>
    <mergeCell ref="J17:K17"/>
    <mergeCell ref="J43:L43"/>
    <mergeCell ref="J42:L42"/>
    <mergeCell ref="J36:K36"/>
    <mergeCell ref="J37:L37"/>
    <mergeCell ref="J38:L38"/>
    <mergeCell ref="J39:K39"/>
    <mergeCell ref="J29:L29"/>
    <mergeCell ref="J28:K28"/>
    <mergeCell ref="J34:K34"/>
    <mergeCell ref="J32:K32"/>
    <mergeCell ref="J33:K33"/>
    <mergeCell ref="B13:E13"/>
    <mergeCell ref="B14:E14"/>
    <mergeCell ref="B15:C15"/>
    <mergeCell ref="J19:M19"/>
    <mergeCell ref="J20:K20"/>
    <mergeCell ref="L20:M20"/>
    <mergeCell ref="J21:M21"/>
    <mergeCell ref="J9:K9"/>
    <mergeCell ref="L9:M9"/>
    <mergeCell ref="J10:K10"/>
    <mergeCell ref="L10:M10"/>
    <mergeCell ref="J11:K11"/>
    <mergeCell ref="L11:M11"/>
    <mergeCell ref="J12:K12"/>
    <mergeCell ref="L12:M12"/>
    <mergeCell ref="J13:M13"/>
    <mergeCell ref="J14:M14"/>
    <mergeCell ref="J15:K15"/>
    <mergeCell ref="L15:M15"/>
    <mergeCell ref="J16:M16"/>
    <mergeCell ref="B10:C10"/>
    <mergeCell ref="B11:C11"/>
    <mergeCell ref="B12:C12"/>
    <mergeCell ref="J5:M5"/>
    <mergeCell ref="J6:K6"/>
    <mergeCell ref="L6:M6"/>
    <mergeCell ref="J7:K7"/>
    <mergeCell ref="L7:M7"/>
    <mergeCell ref="J8:K8"/>
    <mergeCell ref="L8:M8"/>
    <mergeCell ref="B5:E5"/>
    <mergeCell ref="B6:C6"/>
    <mergeCell ref="D6:E6"/>
    <mergeCell ref="B7:C7"/>
    <mergeCell ref="D7:E7"/>
    <mergeCell ref="D8:E8"/>
    <mergeCell ref="D9:E9"/>
    <mergeCell ref="D10:E10"/>
    <mergeCell ref="D11:E11"/>
    <mergeCell ref="D12:E12"/>
    <mergeCell ref="B2:E2"/>
    <mergeCell ref="J2:M2"/>
    <mergeCell ref="B3:E3"/>
    <mergeCell ref="J3:M3"/>
    <mergeCell ref="B4:C4"/>
    <mergeCell ref="J4:K4"/>
    <mergeCell ref="L4:M4"/>
    <mergeCell ref="B8:C8"/>
    <mergeCell ref="B9:C9"/>
    <mergeCell ref="D4:E4"/>
    <mergeCell ref="B40:E40"/>
    <mergeCell ref="B41:C41"/>
    <mergeCell ref="D41:E41"/>
    <mergeCell ref="B42:E42"/>
    <mergeCell ref="B43:E43"/>
    <mergeCell ref="B44:C44"/>
    <mergeCell ref="D44:E44"/>
    <mergeCell ref="B45:E45"/>
    <mergeCell ref="D34:E34"/>
    <mergeCell ref="D35:E35"/>
    <mergeCell ref="D36:E36"/>
    <mergeCell ref="B37:E37"/>
    <mergeCell ref="B38:E38"/>
    <mergeCell ref="B39:C39"/>
    <mergeCell ref="D39:E39"/>
    <mergeCell ref="B26:E26"/>
    <mergeCell ref="B27:E27"/>
    <mergeCell ref="B28:C28"/>
    <mergeCell ref="D28:E28"/>
    <mergeCell ref="B29:E29"/>
    <mergeCell ref="B33:C33"/>
    <mergeCell ref="B34:C34"/>
    <mergeCell ref="B35:C35"/>
    <mergeCell ref="B36:C36"/>
    <mergeCell ref="B30:C30"/>
    <mergeCell ref="D30:E30"/>
    <mergeCell ref="B31:C31"/>
    <mergeCell ref="D31:E31"/>
    <mergeCell ref="B32:C32"/>
    <mergeCell ref="D32:E32"/>
    <mergeCell ref="D33:E33"/>
    <mergeCell ref="D15:E15"/>
    <mergeCell ref="B16:E16"/>
    <mergeCell ref="B17:C17"/>
    <mergeCell ref="D17:E17"/>
    <mergeCell ref="B18:E18"/>
    <mergeCell ref="B19:E19"/>
    <mergeCell ref="B20:C20"/>
    <mergeCell ref="D20:E20"/>
    <mergeCell ref="B21:E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55"/>
  <sheetViews>
    <sheetView topLeftCell="A21" workbookViewId="0"/>
  </sheetViews>
  <sheetFormatPr baseColWidth="10" defaultColWidth="14.44140625" defaultRowHeight="15.75" customHeight="1" x14ac:dyDescent="0.25"/>
  <cols>
    <col min="2" max="2" width="18.6640625" customWidth="1"/>
    <col min="4" max="4" width="6.109375" customWidth="1"/>
    <col min="5" max="5" width="20.44140625" customWidth="1"/>
    <col min="8" max="8" width="2.5546875" customWidth="1"/>
    <col min="10" max="10" width="17.88671875" customWidth="1"/>
    <col min="12" max="12" width="6.44140625" customWidth="1"/>
    <col min="13" max="13" width="20.88671875" customWidth="1"/>
    <col min="15" max="15" width="16.33203125" customWidth="1"/>
    <col min="26" max="26" width="17" customWidth="1"/>
  </cols>
  <sheetData>
    <row r="1" spans="2:21" ht="18.75" customHeight="1" x14ac:dyDescent="0.25">
      <c r="H1" s="179"/>
    </row>
    <row r="2" spans="2:21" ht="30" customHeight="1" x14ac:dyDescent="0.25">
      <c r="B2" s="318" t="s">
        <v>165</v>
      </c>
      <c r="C2" s="261"/>
      <c r="D2" s="261"/>
      <c r="E2" s="261"/>
      <c r="F2" s="261"/>
      <c r="H2" s="179"/>
      <c r="J2" s="318" t="s">
        <v>166</v>
      </c>
      <c r="K2" s="261"/>
      <c r="L2" s="261"/>
      <c r="M2" s="261"/>
      <c r="N2" s="261"/>
      <c r="S2" s="198"/>
      <c r="T2" s="198"/>
      <c r="U2" s="198"/>
    </row>
    <row r="3" spans="2:21" ht="13.2" x14ac:dyDescent="0.25">
      <c r="B3" s="326" t="s">
        <v>167</v>
      </c>
      <c r="C3" s="261"/>
      <c r="E3" s="327" t="s">
        <v>168</v>
      </c>
      <c r="F3" s="261"/>
      <c r="H3" s="179"/>
      <c r="J3" s="326" t="s">
        <v>167</v>
      </c>
      <c r="K3" s="261"/>
      <c r="M3" s="327" t="s">
        <v>168</v>
      </c>
      <c r="N3" s="261"/>
    </row>
    <row r="4" spans="2:21" ht="13.2" x14ac:dyDescent="0.25">
      <c r="B4" s="195" t="s">
        <v>169</v>
      </c>
      <c r="C4" s="186">
        <f>C6+C7+C8+C9+C5</f>
        <v>611004.44999999995</v>
      </c>
      <c r="E4" s="201" t="s">
        <v>170</v>
      </c>
      <c r="F4" s="202">
        <f>F5+F6+F7</f>
        <v>500000</v>
      </c>
      <c r="H4" s="179"/>
      <c r="J4" s="195" t="s">
        <v>169</v>
      </c>
      <c r="K4" s="186">
        <f>K6+K7+K8+K9+K5</f>
        <v>567144.44999999995</v>
      </c>
      <c r="M4" s="201" t="s">
        <v>170</v>
      </c>
      <c r="N4" s="202">
        <f>N5+N6+N7</f>
        <v>463982.15937765647</v>
      </c>
    </row>
    <row r="5" spans="2:21" ht="17.399999999999999" x14ac:dyDescent="0.25">
      <c r="B5" s="3" t="s">
        <v>151</v>
      </c>
      <c r="C5" s="138">
        <f>TESORERIA!C22</f>
        <v>4.45</v>
      </c>
      <c r="E5" s="3" t="s">
        <v>171</v>
      </c>
      <c r="F5" s="137">
        <v>500000</v>
      </c>
      <c r="H5" s="179"/>
      <c r="J5" s="3" t="s">
        <v>151</v>
      </c>
      <c r="K5" s="138">
        <f>'VENTA Y GASTO'!D32</f>
        <v>4.45</v>
      </c>
      <c r="M5" s="3" t="s">
        <v>171</v>
      </c>
      <c r="N5" s="137">
        <v>500000</v>
      </c>
      <c r="Q5" s="328" t="s">
        <v>172</v>
      </c>
      <c r="R5" s="261"/>
      <c r="S5" s="261"/>
      <c r="T5" s="261"/>
    </row>
    <row r="6" spans="2:21" ht="13.2" x14ac:dyDescent="0.25">
      <c r="B6" s="3" t="s">
        <v>173</v>
      </c>
      <c r="C6" s="137">
        <f>TESORERIA!C10</f>
        <v>561000</v>
      </c>
      <c r="E6" s="3" t="s">
        <v>174</v>
      </c>
      <c r="F6" s="137">
        <v>0</v>
      </c>
      <c r="H6" s="179"/>
      <c r="J6" s="3" t="s">
        <v>173</v>
      </c>
      <c r="K6" s="137">
        <f>TESORERIA!C10</f>
        <v>561000</v>
      </c>
      <c r="M6" s="3" t="s">
        <v>174</v>
      </c>
      <c r="N6" s="137">
        <v>0</v>
      </c>
    </row>
    <row r="7" spans="2:21" ht="13.2" x14ac:dyDescent="0.25">
      <c r="B7" s="3" t="s">
        <v>175</v>
      </c>
      <c r="C7" s="137">
        <f>TESORERIA!C13</f>
        <v>18000</v>
      </c>
      <c r="E7" s="3" t="s">
        <v>176</v>
      </c>
      <c r="F7" s="137">
        <v>0</v>
      </c>
      <c r="H7" s="179"/>
      <c r="J7" s="3" t="s">
        <v>175</v>
      </c>
      <c r="K7" s="137">
        <f>TESORERIA!C13</f>
        <v>18000</v>
      </c>
      <c r="M7" s="3" t="s">
        <v>176</v>
      </c>
      <c r="N7" s="189">
        <f>'CUENTA DE PYG'!F21</f>
        <v>-36017.840622343538</v>
      </c>
      <c r="R7" s="203" t="s">
        <v>13</v>
      </c>
      <c r="S7" s="203" t="s">
        <v>14</v>
      </c>
      <c r="T7" s="203" t="s">
        <v>15</v>
      </c>
    </row>
    <row r="8" spans="2:21" ht="13.2" x14ac:dyDescent="0.25">
      <c r="B8" s="3" t="s">
        <v>177</v>
      </c>
      <c r="C8" s="137">
        <f>TESORERIA!C14</f>
        <v>32000</v>
      </c>
      <c r="E8" s="201" t="s">
        <v>178</v>
      </c>
      <c r="F8" s="202">
        <f>F9+F11</f>
        <v>300000</v>
      </c>
      <c r="H8" s="179"/>
      <c r="J8" s="3" t="s">
        <v>177</v>
      </c>
      <c r="K8" s="137">
        <f>TESORERIA!C14</f>
        <v>32000</v>
      </c>
      <c r="M8" s="201" t="s">
        <v>178</v>
      </c>
      <c r="N8" s="202">
        <f>N10+N11</f>
        <v>204837.48096796914</v>
      </c>
      <c r="Q8" s="199" t="s">
        <v>167</v>
      </c>
    </row>
    <row r="9" spans="2:21" ht="13.2" x14ac:dyDescent="0.25">
      <c r="B9" s="3" t="s">
        <v>179</v>
      </c>
      <c r="C9" s="189">
        <v>0</v>
      </c>
      <c r="E9" s="204" t="s">
        <v>180</v>
      </c>
      <c r="F9" s="182">
        <f>F10</f>
        <v>204837.48096796914</v>
      </c>
      <c r="H9" s="179"/>
      <c r="J9" s="3" t="s">
        <v>179</v>
      </c>
      <c r="K9" s="189">
        <f>-'CUENTA DE PYG'!D11</f>
        <v>-43860</v>
      </c>
      <c r="M9" s="204" t="s">
        <v>180</v>
      </c>
      <c r="N9" s="182">
        <f>N10</f>
        <v>104916.78477417494</v>
      </c>
      <c r="Q9" s="186" t="s">
        <v>169</v>
      </c>
      <c r="R9" s="186">
        <v>567144.44999999995</v>
      </c>
      <c r="S9" s="186">
        <v>523284.45</v>
      </c>
      <c r="T9" s="186">
        <v>479424.45</v>
      </c>
    </row>
    <row r="10" spans="2:21" ht="13.2" x14ac:dyDescent="0.25">
      <c r="B10" s="195" t="s">
        <v>181</v>
      </c>
      <c r="C10" s="186">
        <f>C11+C12+C13</f>
        <v>188995.55000000005</v>
      </c>
      <c r="E10" s="3" t="s">
        <v>125</v>
      </c>
      <c r="F10" s="137">
        <f>PRESTAMO!I13</f>
        <v>204837.48096796914</v>
      </c>
      <c r="H10" s="179"/>
      <c r="J10" s="195" t="s">
        <v>181</v>
      </c>
      <c r="K10" s="186">
        <f>K11+K12+K13+K14</f>
        <v>101675.190345626</v>
      </c>
      <c r="M10" s="3" t="s">
        <v>125</v>
      </c>
      <c r="N10" s="137">
        <f>PRESTAMO!I25</f>
        <v>104916.78477417494</v>
      </c>
      <c r="Q10" s="3" t="s">
        <v>151</v>
      </c>
      <c r="R10" s="138">
        <v>4.45</v>
      </c>
      <c r="S10" s="138">
        <v>4.45</v>
      </c>
      <c r="T10" s="138">
        <v>4.45</v>
      </c>
    </row>
    <row r="11" spans="2:21" ht="13.2" x14ac:dyDescent="0.25">
      <c r="B11" s="3" t="s">
        <v>182</v>
      </c>
      <c r="C11" s="137">
        <v>0</v>
      </c>
      <c r="E11" s="204" t="s">
        <v>183</v>
      </c>
      <c r="F11" s="182">
        <f>F12</f>
        <v>95162.519032030861</v>
      </c>
      <c r="H11" s="179"/>
      <c r="J11" s="3" t="s">
        <v>182</v>
      </c>
      <c r="K11" s="137">
        <v>0</v>
      </c>
      <c r="M11" s="204" t="s">
        <v>183</v>
      </c>
      <c r="N11" s="182">
        <f>PRESTAMO!I24</f>
        <v>99920.696193794196</v>
      </c>
      <c r="Q11" s="3" t="s">
        <v>173</v>
      </c>
      <c r="R11" s="137">
        <v>561000</v>
      </c>
      <c r="S11" s="137">
        <v>561000</v>
      </c>
      <c r="T11" s="137">
        <v>561000</v>
      </c>
    </row>
    <row r="12" spans="2:21" ht="13.2" x14ac:dyDescent="0.25">
      <c r="B12" s="3" t="s">
        <v>184</v>
      </c>
      <c r="C12" s="137">
        <v>0</v>
      </c>
      <c r="E12" s="3" t="s">
        <v>125</v>
      </c>
      <c r="F12" s="137">
        <f>PRESTAMO!I12</f>
        <v>95162.519032030861</v>
      </c>
      <c r="H12" s="179"/>
      <c r="J12" s="3" t="s">
        <v>184</v>
      </c>
      <c r="K12" s="137">
        <v>0</v>
      </c>
      <c r="M12" s="3" t="s">
        <v>125</v>
      </c>
      <c r="N12" s="137">
        <f>PRESTAMO!I24</f>
        <v>99920.696193794196</v>
      </c>
      <c r="Q12" s="3" t="s">
        <v>175</v>
      </c>
      <c r="R12" s="137">
        <v>18000</v>
      </c>
      <c r="S12" s="137">
        <v>18000</v>
      </c>
      <c r="T12" s="137">
        <v>18000</v>
      </c>
    </row>
    <row r="13" spans="2:21" ht="13.2" x14ac:dyDescent="0.25">
      <c r="B13" s="3" t="s">
        <v>185</v>
      </c>
      <c r="C13" s="137">
        <f>TESORERIA!C27</f>
        <v>188995.55000000005</v>
      </c>
      <c r="H13" s="179"/>
      <c r="J13" s="3" t="s">
        <v>185</v>
      </c>
      <c r="K13" s="137">
        <f>TESORERIA!O27</f>
        <v>101675.190345626</v>
      </c>
      <c r="Q13" s="3" t="s">
        <v>177</v>
      </c>
      <c r="R13" s="137">
        <v>32000</v>
      </c>
      <c r="S13" s="137">
        <v>32000</v>
      </c>
      <c r="T13" s="137">
        <v>32000</v>
      </c>
    </row>
    <row r="14" spans="2:21" ht="13.2" x14ac:dyDescent="0.25">
      <c r="H14" s="179"/>
      <c r="Q14" s="3" t="s">
        <v>179</v>
      </c>
      <c r="R14" s="189">
        <v>-43860</v>
      </c>
      <c r="S14" s="189">
        <v>-87720</v>
      </c>
      <c r="T14" s="189">
        <v>-131580</v>
      </c>
    </row>
    <row r="15" spans="2:21" ht="13.2" x14ac:dyDescent="0.25">
      <c r="B15" s="199" t="s">
        <v>186</v>
      </c>
      <c r="C15" s="205">
        <f>C4+C10</f>
        <v>800000</v>
      </c>
      <c r="E15" s="200" t="s">
        <v>45</v>
      </c>
      <c r="F15" s="205">
        <f>F8+F4</f>
        <v>800000</v>
      </c>
      <c r="H15" s="179"/>
      <c r="J15" s="199" t="s">
        <v>186</v>
      </c>
      <c r="K15" s="205">
        <f>K4+K10</f>
        <v>668819.64034562593</v>
      </c>
      <c r="M15" s="200" t="s">
        <v>45</v>
      </c>
      <c r="N15" s="205">
        <f>N8+N4</f>
        <v>668819.64034562558</v>
      </c>
      <c r="Q15" s="186" t="s">
        <v>181</v>
      </c>
      <c r="R15" s="186">
        <v>101675.19034562603</v>
      </c>
      <c r="S15" s="186">
        <v>262018.20905639714</v>
      </c>
      <c r="T15" s="186">
        <v>836237.20562207117</v>
      </c>
    </row>
    <row r="16" spans="2:21" ht="13.2" x14ac:dyDescent="0.25">
      <c r="H16" s="179"/>
      <c r="Q16" s="3" t="s">
        <v>182</v>
      </c>
      <c r="R16" s="137">
        <v>0</v>
      </c>
      <c r="S16" s="137">
        <v>0</v>
      </c>
      <c r="T16" s="137">
        <v>0</v>
      </c>
    </row>
    <row r="17" spans="1:26" ht="13.2" x14ac:dyDescent="0.25">
      <c r="H17" s="179"/>
      <c r="Q17" s="3" t="s">
        <v>184</v>
      </c>
      <c r="R17" s="137">
        <v>0</v>
      </c>
      <c r="S17" s="137">
        <v>0</v>
      </c>
      <c r="T17" s="137">
        <v>0</v>
      </c>
    </row>
    <row r="18" spans="1:26" ht="12" customHeight="1" x14ac:dyDescent="0.25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Q18" s="3" t="s">
        <v>185</v>
      </c>
      <c r="R18" s="137">
        <v>101675.19034562603</v>
      </c>
      <c r="S18" s="137">
        <v>262018.20905639714</v>
      </c>
      <c r="T18" s="137">
        <v>836237.20562207117</v>
      </c>
    </row>
    <row r="19" spans="1:26" ht="13.2" x14ac:dyDescent="0.25">
      <c r="H19" s="179"/>
    </row>
    <row r="20" spans="1:26" ht="13.2" x14ac:dyDescent="0.25">
      <c r="H20" s="179"/>
      <c r="Q20" s="199" t="s">
        <v>186</v>
      </c>
      <c r="R20" s="205">
        <v>668819.64034562605</v>
      </c>
      <c r="S20" s="205">
        <v>785302.65905639715</v>
      </c>
      <c r="T20" s="205">
        <v>1315661.6556220711</v>
      </c>
    </row>
    <row r="21" spans="1:26" ht="30" customHeight="1" x14ac:dyDescent="0.25">
      <c r="B21" s="318" t="s">
        <v>187</v>
      </c>
      <c r="C21" s="261"/>
      <c r="D21" s="261"/>
      <c r="E21" s="261"/>
      <c r="F21" s="261"/>
      <c r="H21" s="179"/>
      <c r="J21" s="318" t="s">
        <v>188</v>
      </c>
      <c r="K21" s="261"/>
      <c r="L21" s="261"/>
      <c r="M21" s="261"/>
      <c r="N21" s="261"/>
      <c r="Z21" s="3" t="s">
        <v>189</v>
      </c>
    </row>
    <row r="22" spans="1:26" ht="13.2" x14ac:dyDescent="0.25">
      <c r="B22" s="326" t="s">
        <v>167</v>
      </c>
      <c r="C22" s="261"/>
      <c r="E22" s="327" t="s">
        <v>168</v>
      </c>
      <c r="F22" s="261"/>
      <c r="H22" s="179"/>
      <c r="J22" s="326" t="s">
        <v>167</v>
      </c>
      <c r="K22" s="261"/>
      <c r="M22" s="327" t="s">
        <v>168</v>
      </c>
      <c r="N22" s="261"/>
      <c r="Q22" s="200" t="s">
        <v>168</v>
      </c>
      <c r="R22" s="200"/>
    </row>
    <row r="23" spans="1:26" ht="13.2" x14ac:dyDescent="0.25">
      <c r="B23" s="195" t="s">
        <v>169</v>
      </c>
      <c r="C23" s="186">
        <f>C25+C26+C27+C28+C24</f>
        <v>523284.45</v>
      </c>
      <c r="E23" s="201" t="s">
        <v>170</v>
      </c>
      <c r="F23" s="202">
        <f>F24+F25+F26</f>
        <v>680385.87428222143</v>
      </c>
      <c r="H23" s="179"/>
      <c r="J23" s="195" t="s">
        <v>169</v>
      </c>
      <c r="K23" s="186">
        <f>K25+K26+K27+K28+K24</f>
        <v>479424.45</v>
      </c>
      <c r="M23" s="201" t="s">
        <v>170</v>
      </c>
      <c r="N23" s="202">
        <f>N24+N25+N26</f>
        <v>1315661.6556220767</v>
      </c>
      <c r="Q23" s="202" t="s">
        <v>170</v>
      </c>
      <c r="R23" s="202">
        <v>463982.15937765647</v>
      </c>
      <c r="S23" s="202">
        <v>680385.87428222143</v>
      </c>
      <c r="T23" s="202">
        <v>1315661.6556220767</v>
      </c>
    </row>
    <row r="24" spans="1:26" ht="13.2" x14ac:dyDescent="0.25">
      <c r="B24" s="3" t="s">
        <v>152</v>
      </c>
      <c r="C24" s="137">
        <v>4.45</v>
      </c>
      <c r="E24" s="3" t="s">
        <v>171</v>
      </c>
      <c r="F24" s="137">
        <v>500000</v>
      </c>
      <c r="H24" s="179"/>
      <c r="J24" s="3" t="s">
        <v>151</v>
      </c>
      <c r="K24" s="3">
        <v>4.45</v>
      </c>
      <c r="M24" s="3" t="s">
        <v>171</v>
      </c>
      <c r="N24" s="137">
        <v>500000</v>
      </c>
      <c r="Q24" s="3" t="s">
        <v>171</v>
      </c>
      <c r="R24" s="137">
        <v>500000</v>
      </c>
      <c r="S24" s="137">
        <v>500000</v>
      </c>
      <c r="T24" s="137">
        <v>500000</v>
      </c>
    </row>
    <row r="25" spans="1:26" ht="13.2" x14ac:dyDescent="0.25">
      <c r="B25" s="3" t="s">
        <v>173</v>
      </c>
      <c r="C25" s="189">
        <f>TESORERIA!C10</f>
        <v>561000</v>
      </c>
      <c r="E25" s="3" t="s">
        <v>174</v>
      </c>
      <c r="F25" s="189">
        <f>'CUENTA DE PYG'!F21</f>
        <v>-36017.840622343538</v>
      </c>
      <c r="H25" s="179"/>
      <c r="J25" s="3" t="s">
        <v>173</v>
      </c>
      <c r="K25" s="137">
        <f>TESORERIA!C10</f>
        <v>561000</v>
      </c>
      <c r="M25" s="3" t="s">
        <v>174</v>
      </c>
      <c r="N25" s="137">
        <f>F26+F25</f>
        <v>180385.87428222143</v>
      </c>
      <c r="Q25" s="3" t="s">
        <v>174</v>
      </c>
      <c r="R25" s="137">
        <v>0</v>
      </c>
      <c r="S25" s="137">
        <v>-36017.840622343545</v>
      </c>
      <c r="T25" s="137">
        <v>180385.87428222143</v>
      </c>
    </row>
    <row r="26" spans="1:26" ht="13.2" x14ac:dyDescent="0.25">
      <c r="B26" s="3" t="s">
        <v>175</v>
      </c>
      <c r="C26" s="189">
        <f>TESORERIA!C13</f>
        <v>18000</v>
      </c>
      <c r="E26" s="3" t="s">
        <v>176</v>
      </c>
      <c r="F26" s="137">
        <f>'CUENTA DE PYG'!N21</f>
        <v>216403.71490456496</v>
      </c>
      <c r="H26" s="179"/>
      <c r="J26" s="3" t="s">
        <v>175</v>
      </c>
      <c r="K26" s="137">
        <f>TESORERIA!C13</f>
        <v>18000</v>
      </c>
      <c r="M26" s="3" t="s">
        <v>176</v>
      </c>
      <c r="N26" s="137">
        <f>'CUENTA DE PYG'!F45</f>
        <v>635275.78133985528</v>
      </c>
      <c r="Q26" s="3" t="s">
        <v>176</v>
      </c>
      <c r="R26" s="137">
        <v>-36017.840622343545</v>
      </c>
      <c r="S26" s="137">
        <v>216403.71490456496</v>
      </c>
      <c r="T26" s="137">
        <v>635275.78133985528</v>
      </c>
    </row>
    <row r="27" spans="1:26" ht="13.2" x14ac:dyDescent="0.25">
      <c r="B27" s="3" t="s">
        <v>177</v>
      </c>
      <c r="C27" s="189">
        <f>TESORERIA!C14</f>
        <v>32000</v>
      </c>
      <c r="E27" s="201" t="s">
        <v>178</v>
      </c>
      <c r="F27" s="202">
        <f>F28+F30</f>
        <v>104916.78477418133</v>
      </c>
      <c r="H27" s="179"/>
      <c r="J27" s="3" t="s">
        <v>177</v>
      </c>
      <c r="K27" s="137">
        <f>TESORERIA!C14</f>
        <v>32000</v>
      </c>
      <c r="M27" s="201" t="s">
        <v>178</v>
      </c>
      <c r="N27" s="202">
        <f>N28+N30</f>
        <v>0</v>
      </c>
      <c r="Q27" s="202" t="s">
        <v>178</v>
      </c>
      <c r="R27" s="202">
        <v>204837.48096796955</v>
      </c>
      <c r="S27" s="202">
        <v>104916.78477418089</v>
      </c>
      <c r="T27" s="202">
        <v>0</v>
      </c>
    </row>
    <row r="28" spans="1:26" ht="13.2" x14ac:dyDescent="0.25">
      <c r="B28" s="3" t="s">
        <v>179</v>
      </c>
      <c r="C28" s="189">
        <f>-('CUENTA DE PYG'!D35+'CUENTA DE PYG'!L11)</f>
        <v>-87720</v>
      </c>
      <c r="E28" s="204" t="s">
        <v>180</v>
      </c>
      <c r="F28" s="182">
        <f>F29</f>
        <v>0</v>
      </c>
      <c r="H28" s="179"/>
      <c r="J28" s="3" t="s">
        <v>179</v>
      </c>
      <c r="K28" s="189">
        <f>-('CUENTA DE PYG'!D35+'CUENTA DE PYG'!L11+'CUENTA DE PYG'!D11)</f>
        <v>-131580</v>
      </c>
      <c r="M28" s="204" t="s">
        <v>180</v>
      </c>
      <c r="N28" s="182">
        <f>N29</f>
        <v>0</v>
      </c>
      <c r="Q28" s="182" t="s">
        <v>180</v>
      </c>
      <c r="R28" s="182">
        <v>104916.78477417577</v>
      </c>
      <c r="S28" s="182">
        <v>0</v>
      </c>
      <c r="T28" s="182">
        <v>0</v>
      </c>
    </row>
    <row r="29" spans="1:26" ht="13.2" x14ac:dyDescent="0.25">
      <c r="B29" s="195" t="s">
        <v>181</v>
      </c>
      <c r="C29" s="186">
        <f>C30+C31+C32+C33</f>
        <v>262018.20905639665</v>
      </c>
      <c r="E29" s="3" t="s">
        <v>125</v>
      </c>
      <c r="F29" s="137">
        <f>PRESTAMO!I37</f>
        <v>0</v>
      </c>
      <c r="H29" s="179"/>
      <c r="J29" s="195" t="s">
        <v>181</v>
      </c>
      <c r="K29" s="186">
        <f>K30+K31+K32</f>
        <v>836237.20562207059</v>
      </c>
      <c r="M29" s="3" t="s">
        <v>125</v>
      </c>
      <c r="N29" s="137">
        <v>0</v>
      </c>
      <c r="Q29" s="3" t="s">
        <v>125</v>
      </c>
      <c r="R29" s="137">
        <v>104916.78477417577</v>
      </c>
      <c r="S29" s="137">
        <v>0</v>
      </c>
      <c r="T29" s="137">
        <v>0</v>
      </c>
    </row>
    <row r="30" spans="1:26" ht="13.2" x14ac:dyDescent="0.25">
      <c r="B30" s="3" t="s">
        <v>182</v>
      </c>
      <c r="C30" s="137">
        <v>0</v>
      </c>
      <c r="E30" s="204" t="s">
        <v>183</v>
      </c>
      <c r="F30" s="182">
        <f>F31</f>
        <v>104916.78477418133</v>
      </c>
      <c r="H30" s="179"/>
      <c r="J30" s="3" t="s">
        <v>182</v>
      </c>
      <c r="K30" s="137">
        <v>0</v>
      </c>
      <c r="M30" s="204" t="s">
        <v>183</v>
      </c>
      <c r="N30" s="182">
        <f>N31</f>
        <v>0</v>
      </c>
      <c r="Q30" s="182" t="s">
        <v>183</v>
      </c>
      <c r="R30" s="182">
        <v>99920.696193793774</v>
      </c>
      <c r="S30" s="182">
        <v>104916.78477418089</v>
      </c>
      <c r="T30" s="182">
        <v>0</v>
      </c>
    </row>
    <row r="31" spans="1:26" ht="13.2" x14ac:dyDescent="0.25">
      <c r="B31" s="3" t="s">
        <v>184</v>
      </c>
      <c r="C31" s="137">
        <v>0</v>
      </c>
      <c r="E31" s="3" t="s">
        <v>125</v>
      </c>
      <c r="F31" s="137">
        <f>PRESTAMO!I36</f>
        <v>104916.78477418133</v>
      </c>
      <c r="H31" s="179"/>
      <c r="J31" s="3" t="s">
        <v>184</v>
      </c>
      <c r="K31" s="137">
        <v>0</v>
      </c>
      <c r="M31" s="3" t="s">
        <v>125</v>
      </c>
      <c r="N31" s="137">
        <v>0</v>
      </c>
      <c r="Q31" s="3" t="s">
        <v>125</v>
      </c>
      <c r="R31" s="137">
        <v>99920.696193793774</v>
      </c>
      <c r="S31" s="137">
        <v>104916.78477418089</v>
      </c>
      <c r="T31" s="137">
        <v>0</v>
      </c>
    </row>
    <row r="32" spans="1:26" ht="13.2" x14ac:dyDescent="0.25">
      <c r="B32" s="3" t="s">
        <v>185</v>
      </c>
      <c r="C32" s="137">
        <f>TESORERIA!P27</f>
        <v>262018.20905639665</v>
      </c>
      <c r="H32" s="179"/>
      <c r="J32" s="3" t="s">
        <v>185</v>
      </c>
      <c r="K32" s="137">
        <f>TESORERIA!Q27</f>
        <v>836237.20562207059</v>
      </c>
    </row>
    <row r="33" spans="2:20" ht="13.2" x14ac:dyDescent="0.25">
      <c r="H33" s="179"/>
    </row>
    <row r="34" spans="2:20" ht="13.2" x14ac:dyDescent="0.25">
      <c r="B34" s="199" t="s">
        <v>186</v>
      </c>
      <c r="C34" s="205">
        <f>C23+C29</f>
        <v>785302.65905639669</v>
      </c>
      <c r="E34" s="200" t="s">
        <v>45</v>
      </c>
      <c r="F34" s="205">
        <f>F27+F23</f>
        <v>785302.65905640274</v>
      </c>
      <c r="H34" s="179"/>
      <c r="J34" s="199" t="s">
        <v>186</v>
      </c>
      <c r="K34" s="205">
        <f>K23+K29</f>
        <v>1315661.6556220707</v>
      </c>
      <c r="M34" s="200" t="s">
        <v>45</v>
      </c>
      <c r="N34" s="205">
        <f>N27+N23</f>
        <v>1315661.6556220767</v>
      </c>
      <c r="Q34" s="200" t="s">
        <v>45</v>
      </c>
      <c r="R34" s="205">
        <v>668819.64034562605</v>
      </c>
      <c r="S34" s="205">
        <v>785302.65905640228</v>
      </c>
      <c r="T34" s="205">
        <v>1315661.6556220767</v>
      </c>
    </row>
    <row r="35" spans="2:20" ht="13.2" x14ac:dyDescent="0.25">
      <c r="H35" s="179"/>
    </row>
    <row r="36" spans="2:20" ht="13.2" x14ac:dyDescent="0.25">
      <c r="H36" s="179"/>
    </row>
    <row r="43" spans="2:20" ht="13.2" x14ac:dyDescent="0.25">
      <c r="B43" s="3" t="s">
        <v>167</v>
      </c>
    </row>
    <row r="44" spans="2:20" ht="13.2" x14ac:dyDescent="0.25">
      <c r="B44" s="3" t="s">
        <v>169</v>
      </c>
      <c r="C44" s="3">
        <v>567144.44999999995</v>
      </c>
    </row>
    <row r="45" spans="2:20" ht="13.2" x14ac:dyDescent="0.25">
      <c r="B45" s="3" t="s">
        <v>151</v>
      </c>
      <c r="C45" s="3">
        <v>4.45</v>
      </c>
    </row>
    <row r="46" spans="2:20" ht="13.2" x14ac:dyDescent="0.25">
      <c r="B46" s="3" t="s">
        <v>173</v>
      </c>
      <c r="C46" s="3">
        <v>561000</v>
      </c>
    </row>
    <row r="47" spans="2:20" ht="13.2" x14ac:dyDescent="0.25">
      <c r="B47" s="3" t="s">
        <v>175</v>
      </c>
      <c r="C47" s="3">
        <v>18000</v>
      </c>
    </row>
    <row r="48" spans="2:20" ht="13.2" x14ac:dyDescent="0.25">
      <c r="B48" s="3" t="s">
        <v>177</v>
      </c>
      <c r="C48" s="3">
        <v>32000</v>
      </c>
    </row>
    <row r="49" spans="2:4" ht="13.2" x14ac:dyDescent="0.25">
      <c r="B49" s="3" t="s">
        <v>179</v>
      </c>
      <c r="C49" s="3">
        <v>-43860</v>
      </c>
    </row>
    <row r="50" spans="2:4" ht="13.2" x14ac:dyDescent="0.25">
      <c r="B50" s="3" t="s">
        <v>181</v>
      </c>
      <c r="C50" s="3">
        <v>101675.19034562603</v>
      </c>
    </row>
    <row r="51" spans="2:4" ht="13.2" x14ac:dyDescent="0.25">
      <c r="B51" s="3" t="s">
        <v>182</v>
      </c>
      <c r="C51" s="3">
        <v>0</v>
      </c>
    </row>
    <row r="52" spans="2:4" ht="13.2" x14ac:dyDescent="0.25">
      <c r="B52" s="3" t="s">
        <v>184</v>
      </c>
      <c r="C52" s="3">
        <v>0</v>
      </c>
    </row>
    <row r="53" spans="2:4" ht="13.2" x14ac:dyDescent="0.25">
      <c r="B53" s="3" t="s">
        <v>185</v>
      </c>
      <c r="C53" s="3">
        <v>101675.19034562603</v>
      </c>
    </row>
    <row r="54" spans="2:4" ht="13.2" x14ac:dyDescent="0.25">
      <c r="D54" s="3" t="s">
        <v>162</v>
      </c>
    </row>
    <row r="55" spans="2:4" ht="13.2" x14ac:dyDescent="0.25">
      <c r="B55" s="3" t="s">
        <v>186</v>
      </c>
      <c r="C55" s="3">
        <v>668819.64034562605</v>
      </c>
    </row>
  </sheetData>
  <mergeCells count="13">
    <mergeCell ref="Q5:T5"/>
    <mergeCell ref="B2:F2"/>
    <mergeCell ref="J2:N2"/>
    <mergeCell ref="B3:C3"/>
    <mergeCell ref="E3:F3"/>
    <mergeCell ref="J3:K3"/>
    <mergeCell ref="M3:N3"/>
    <mergeCell ref="B21:F21"/>
    <mergeCell ref="J21:N21"/>
    <mergeCell ref="B22:C22"/>
    <mergeCell ref="E22:F22"/>
    <mergeCell ref="J22:K22"/>
    <mergeCell ref="M22:N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4:F20"/>
  <sheetViews>
    <sheetView workbookViewId="0"/>
  </sheetViews>
  <sheetFormatPr baseColWidth="10" defaultColWidth="14.44140625" defaultRowHeight="15.75" customHeight="1" x14ac:dyDescent="0.25"/>
  <cols>
    <col min="1" max="1" width="18.6640625" customWidth="1"/>
    <col min="2" max="2" width="17.88671875" customWidth="1"/>
    <col min="3" max="3" width="20.6640625" customWidth="1"/>
    <col min="4" max="4" width="19" customWidth="1"/>
    <col min="5" max="5" width="18.88671875" customWidth="1"/>
    <col min="6" max="6" width="17.109375" customWidth="1"/>
  </cols>
  <sheetData>
    <row r="4" spans="1:6" x14ac:dyDescent="0.25">
      <c r="C4" s="206" t="s">
        <v>190</v>
      </c>
      <c r="D4" s="207" t="s">
        <v>191</v>
      </c>
      <c r="E4" s="208">
        <f>-'VENTA Y GASTO'!B34</f>
        <v>-611004.44999999995</v>
      </c>
    </row>
    <row r="5" spans="1:6" x14ac:dyDescent="0.25">
      <c r="C5" s="206" t="s">
        <v>192</v>
      </c>
      <c r="D5" s="207" t="s">
        <v>193</v>
      </c>
      <c r="E5" s="209">
        <f>TESORERIA!C26</f>
        <v>101675.190345626</v>
      </c>
    </row>
    <row r="6" spans="1:6" x14ac:dyDescent="0.25">
      <c r="C6" s="206" t="s">
        <v>194</v>
      </c>
      <c r="D6" s="207" t="s">
        <v>195</v>
      </c>
      <c r="E6" s="209">
        <f>TESORERIA!P26</f>
        <v>160343.01871077064</v>
      </c>
    </row>
    <row r="7" spans="1:6" x14ac:dyDescent="0.25">
      <c r="C7" s="206" t="s">
        <v>196</v>
      </c>
      <c r="D7" s="207" t="s">
        <v>197</v>
      </c>
      <c r="E7" s="209">
        <f>TESORERIA!Q26</f>
        <v>574218.99656567397</v>
      </c>
    </row>
    <row r="8" spans="1:6" x14ac:dyDescent="0.25">
      <c r="C8" s="206" t="s">
        <v>198</v>
      </c>
      <c r="D8" s="207" t="s">
        <v>199</v>
      </c>
      <c r="E8" s="210">
        <v>1.3753125E-2</v>
      </c>
    </row>
    <row r="9" spans="1:6" x14ac:dyDescent="0.25">
      <c r="C9" s="211" t="s">
        <v>200</v>
      </c>
      <c r="D9" s="212"/>
      <c r="E9" s="213">
        <f>IRR(E4:E7)</f>
        <v>0.13185209461355329</v>
      </c>
    </row>
    <row r="10" spans="1:6" x14ac:dyDescent="0.25">
      <c r="C10" s="214" t="s">
        <v>201</v>
      </c>
      <c r="D10" s="215"/>
      <c r="E10" s="216">
        <f t="array" ref="E10">NPV(E8,E5:E7)+E4</f>
        <v>196477.40889967792</v>
      </c>
    </row>
    <row r="13" spans="1:6" x14ac:dyDescent="0.25">
      <c r="A13" s="217"/>
      <c r="B13" s="329" t="s">
        <v>202</v>
      </c>
      <c r="C13" s="281"/>
      <c r="D13" s="281"/>
      <c r="E13" s="281"/>
      <c r="F13" s="263"/>
    </row>
    <row r="14" spans="1:6" x14ac:dyDescent="0.25">
      <c r="B14" s="330"/>
      <c r="C14" s="261"/>
      <c r="D14" s="261"/>
      <c r="E14" s="261"/>
      <c r="F14" s="331"/>
    </row>
    <row r="15" spans="1:6" x14ac:dyDescent="0.25">
      <c r="B15" s="330"/>
      <c r="C15" s="261"/>
      <c r="D15" s="261"/>
      <c r="E15" s="261"/>
      <c r="F15" s="331"/>
    </row>
    <row r="16" spans="1:6" x14ac:dyDescent="0.25">
      <c r="B16" s="330"/>
      <c r="C16" s="261"/>
      <c r="D16" s="261"/>
      <c r="E16" s="261"/>
      <c r="F16" s="331"/>
    </row>
    <row r="17" spans="2:6" x14ac:dyDescent="0.25">
      <c r="B17" s="330"/>
      <c r="C17" s="261"/>
      <c r="D17" s="261"/>
      <c r="E17" s="261"/>
      <c r="F17" s="331"/>
    </row>
    <row r="18" spans="2:6" x14ac:dyDescent="0.25">
      <c r="B18" s="330"/>
      <c r="C18" s="261"/>
      <c r="D18" s="261"/>
      <c r="E18" s="261"/>
      <c r="F18" s="331"/>
    </row>
    <row r="19" spans="2:6" x14ac:dyDescent="0.25">
      <c r="B19" s="330"/>
      <c r="C19" s="261"/>
      <c r="D19" s="261"/>
      <c r="E19" s="261"/>
      <c r="F19" s="331"/>
    </row>
    <row r="20" spans="2:6" x14ac:dyDescent="0.25">
      <c r="B20" s="286"/>
      <c r="C20" s="273"/>
      <c r="D20" s="273"/>
      <c r="E20" s="273"/>
      <c r="F20" s="287"/>
    </row>
  </sheetData>
  <mergeCells count="1">
    <mergeCell ref="B13:F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J20"/>
  <sheetViews>
    <sheetView topLeftCell="AV1" workbookViewId="0"/>
  </sheetViews>
  <sheetFormatPr baseColWidth="10" defaultColWidth="14.44140625" defaultRowHeight="15.75" customHeight="1" x14ac:dyDescent="0.25"/>
  <cols>
    <col min="2" max="2" width="27" customWidth="1"/>
    <col min="3" max="3" width="14.44140625" customWidth="1"/>
    <col min="4" max="4" width="22" customWidth="1"/>
    <col min="5" max="7" width="17.88671875" customWidth="1"/>
  </cols>
  <sheetData>
    <row r="2" spans="2:10" ht="18" customHeight="1" x14ac:dyDescent="0.25">
      <c r="B2" s="218"/>
      <c r="C2" s="218"/>
      <c r="D2" s="218"/>
      <c r="E2" s="218"/>
      <c r="H2" s="1"/>
      <c r="I2" s="1"/>
      <c r="J2" s="1"/>
    </row>
    <row r="3" spans="2:10" ht="13.2" x14ac:dyDescent="0.25">
      <c r="C3" s="219" t="s">
        <v>203</v>
      </c>
      <c r="D3" s="220" t="s">
        <v>204</v>
      </c>
      <c r="E3" s="221" t="s">
        <v>205</v>
      </c>
      <c r="F3" s="221" t="s">
        <v>206</v>
      </c>
      <c r="G3" s="221" t="s">
        <v>207</v>
      </c>
      <c r="H3" s="222" t="s">
        <v>208</v>
      </c>
      <c r="I3" s="222" t="s">
        <v>209</v>
      </c>
      <c r="J3" s="222" t="s">
        <v>210</v>
      </c>
    </row>
    <row r="4" spans="2:10" ht="13.2" x14ac:dyDescent="0.25">
      <c r="B4" s="223" t="s">
        <v>173</v>
      </c>
      <c r="C4" s="224">
        <f>'VENTA Y GASTO'!B20</f>
        <v>561000</v>
      </c>
      <c r="D4" s="225">
        <v>0.02</v>
      </c>
      <c r="E4" s="226">
        <f t="shared" ref="E4:E6" si="0">C4*D4</f>
        <v>11220</v>
      </c>
      <c r="F4" s="226">
        <f t="shared" ref="F4:F6" si="1">C4*D4</f>
        <v>11220</v>
      </c>
      <c r="G4" s="226">
        <f t="shared" ref="G4:G6" si="2">C4*D4</f>
        <v>11220</v>
      </c>
      <c r="H4" s="227">
        <f t="shared" ref="H4:H6" si="3">C4-E4</f>
        <v>549780</v>
      </c>
      <c r="I4" s="227">
        <f t="shared" ref="I4:J4" si="4">H4-F4</f>
        <v>538560</v>
      </c>
      <c r="J4" s="227">
        <f t="shared" si="4"/>
        <v>527340</v>
      </c>
    </row>
    <row r="5" spans="2:10" ht="13.2" x14ac:dyDescent="0.25">
      <c r="B5" s="223" t="s">
        <v>175</v>
      </c>
      <c r="C5" s="224">
        <f>'VENTA Y GASTO'!B24</f>
        <v>18000</v>
      </c>
      <c r="D5" s="225">
        <v>0.1</v>
      </c>
      <c r="E5" s="226">
        <f t="shared" si="0"/>
        <v>1800</v>
      </c>
      <c r="F5" s="226">
        <f t="shared" si="1"/>
        <v>1800</v>
      </c>
      <c r="G5" s="226">
        <f t="shared" si="2"/>
        <v>1800</v>
      </c>
      <c r="H5" s="227">
        <f t="shared" si="3"/>
        <v>16200</v>
      </c>
      <c r="I5" s="227">
        <f t="shared" ref="I5:J5" si="5">H5-F5</f>
        <v>14400</v>
      </c>
      <c r="J5" s="227">
        <f t="shared" si="5"/>
        <v>12600</v>
      </c>
    </row>
    <row r="6" spans="2:10" ht="13.2" x14ac:dyDescent="0.25">
      <c r="B6" s="223" t="s">
        <v>177</v>
      </c>
      <c r="C6" s="224">
        <f>'VENTA Y GASTO'!B25</f>
        <v>32000</v>
      </c>
      <c r="D6" s="225">
        <v>0.05</v>
      </c>
      <c r="E6" s="226">
        <f t="shared" si="0"/>
        <v>1600</v>
      </c>
      <c r="F6" s="226">
        <f t="shared" si="1"/>
        <v>1600</v>
      </c>
      <c r="G6" s="226">
        <f t="shared" si="2"/>
        <v>1600</v>
      </c>
      <c r="H6" s="227">
        <f t="shared" si="3"/>
        <v>30400</v>
      </c>
      <c r="I6" s="227">
        <f t="shared" ref="I6:J6" si="6">H6-F6</f>
        <v>28800</v>
      </c>
      <c r="J6" s="227">
        <f t="shared" si="6"/>
        <v>27200</v>
      </c>
    </row>
    <row r="7" spans="2:10" ht="13.2" x14ac:dyDescent="0.25">
      <c r="C7" s="228">
        <f>SUM(C4:C6)</f>
        <v>611000</v>
      </c>
      <c r="E7" s="229">
        <f t="shared" ref="E7:G7" si="7">SUM(E4:E6)</f>
        <v>14620</v>
      </c>
      <c r="F7" s="229">
        <f t="shared" si="7"/>
        <v>14620</v>
      </c>
      <c r="G7" s="229">
        <f t="shared" si="7"/>
        <v>14620</v>
      </c>
      <c r="H7" s="230"/>
      <c r="I7" s="230"/>
      <c r="J7" s="231">
        <f>SUM(J4:J6)</f>
        <v>567140</v>
      </c>
    </row>
    <row r="10" spans="2:10" ht="13.2" x14ac:dyDescent="0.25">
      <c r="B10" s="232" t="s">
        <v>211</v>
      </c>
      <c r="C10" s="233">
        <f>C7-J7</f>
        <v>43860</v>
      </c>
      <c r="E10" s="332" t="s">
        <v>212</v>
      </c>
      <c r="F10" s="281"/>
      <c r="G10" s="263"/>
    </row>
    <row r="11" spans="2:10" ht="13.2" x14ac:dyDescent="0.25">
      <c r="E11" s="330"/>
      <c r="F11" s="261"/>
      <c r="G11" s="331"/>
    </row>
    <row r="12" spans="2:10" ht="13.2" x14ac:dyDescent="0.25">
      <c r="E12" s="286"/>
      <c r="F12" s="273"/>
      <c r="G12" s="287"/>
    </row>
    <row r="17" spans="5:5" ht="13.2" x14ac:dyDescent="0.25">
      <c r="E17" s="234"/>
    </row>
    <row r="18" spans="5:5" ht="13.2" x14ac:dyDescent="0.25">
      <c r="E18" s="234"/>
    </row>
    <row r="19" spans="5:5" ht="13.2" x14ac:dyDescent="0.25">
      <c r="E19" s="234"/>
    </row>
    <row r="20" spans="5:5" ht="13.2" x14ac:dyDescent="0.25">
      <c r="E20" s="234"/>
    </row>
  </sheetData>
  <mergeCells count="1">
    <mergeCell ref="E10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G19"/>
  <sheetViews>
    <sheetView tabSelected="1" workbookViewId="0"/>
  </sheetViews>
  <sheetFormatPr baseColWidth="10" defaultColWidth="14.44140625" defaultRowHeight="15.75" customHeight="1" x14ac:dyDescent="0.25"/>
  <cols>
    <col min="3" max="3" width="15.33203125" customWidth="1"/>
  </cols>
  <sheetData>
    <row r="2" spans="2:7" ht="27" customHeight="1" x14ac:dyDescent="0.25">
      <c r="B2" s="333" t="s">
        <v>213</v>
      </c>
      <c r="C2" s="258"/>
      <c r="D2" s="235" t="s">
        <v>214</v>
      </c>
      <c r="E2" s="235" t="s">
        <v>215</v>
      </c>
      <c r="F2" s="235" t="s">
        <v>216</v>
      </c>
      <c r="G2" s="236" t="s">
        <v>217</v>
      </c>
    </row>
    <row r="3" spans="2:7" ht="13.2" x14ac:dyDescent="0.25">
      <c r="B3" s="334" t="s">
        <v>218</v>
      </c>
      <c r="C3" s="331"/>
      <c r="D3" s="237">
        <f>BALANCES!C15/BALANCES!F4</f>
        <v>1.6</v>
      </c>
      <c r="E3" s="237">
        <f>BALANCES!K15/BALANCES!N4</f>
        <v>1.4414770629170739</v>
      </c>
      <c r="F3" s="237">
        <f>BALANCES!C23/BALANCES!F23</f>
        <v>0.76909952099173595</v>
      </c>
      <c r="G3" s="238">
        <f>BALANCES!K23/BALANCES!N23</f>
        <v>0.36439798024919751</v>
      </c>
    </row>
    <row r="4" spans="2:7" ht="13.2" x14ac:dyDescent="0.25">
      <c r="B4" s="334" t="s">
        <v>219</v>
      </c>
      <c r="C4" s="331"/>
      <c r="D4" s="237">
        <f>BALANCES!F8/BALANCES!F4</f>
        <v>0.6</v>
      </c>
      <c r="E4" s="237">
        <f>BALANCES!N8/BALANCES!N4</f>
        <v>0.44147706291707323</v>
      </c>
      <c r="F4" s="237">
        <f>BALANCES!F27/BALANCES!F23</f>
        <v>0.15420188563565365</v>
      </c>
      <c r="G4" s="238">
        <f>BALANCES!N27/BALANCES!N23</f>
        <v>0</v>
      </c>
    </row>
    <row r="5" spans="2:7" ht="13.2" x14ac:dyDescent="0.25">
      <c r="B5" s="334" t="s">
        <v>220</v>
      </c>
      <c r="C5" s="331"/>
      <c r="D5" s="239">
        <f>BALANCES!C15/BALANCES!F8</f>
        <v>2.6666666666666665</v>
      </c>
      <c r="E5" s="237">
        <f>BALANCES!K15/BALANCES!N8</f>
        <v>3.2651233416125178</v>
      </c>
      <c r="F5" s="237">
        <f>BALANCES!C34/BALANCES!F27</f>
        <v>7.4850050041721214</v>
      </c>
      <c r="G5" s="238" t="s">
        <v>221</v>
      </c>
    </row>
    <row r="6" spans="2:7" ht="13.2" x14ac:dyDescent="0.25">
      <c r="B6" s="334" t="s">
        <v>222</v>
      </c>
      <c r="C6" s="331"/>
      <c r="D6" s="237">
        <f>BALANCES!C10/BALANCES!F11</f>
        <v>1.9860292888672464</v>
      </c>
      <c r="E6" s="237">
        <f>BALANCES!K10/BALANCES!N11</f>
        <v>1.0175588663676742</v>
      </c>
      <c r="F6" s="237">
        <f>BALANCES!C29/BALANCES!F30</f>
        <v>2.497390761834287</v>
      </c>
      <c r="G6" s="238" t="s">
        <v>221</v>
      </c>
    </row>
    <row r="7" spans="2:7" ht="13.2" x14ac:dyDescent="0.25">
      <c r="B7" s="334" t="s">
        <v>223</v>
      </c>
      <c r="C7" s="331"/>
      <c r="D7" s="237">
        <f>BALANCES!C13/BALANCES!F11</f>
        <v>1.9860292888672464</v>
      </c>
      <c r="E7" s="237">
        <f>BALANCES!K13/BALANCES!N11</f>
        <v>1.0175588663676742</v>
      </c>
      <c r="F7" s="237">
        <f>BALANCES!C32/BALANCES!F30</f>
        <v>2.497390761834287</v>
      </c>
      <c r="G7" s="238" t="s">
        <v>221</v>
      </c>
    </row>
    <row r="8" spans="2:7" ht="13.2" x14ac:dyDescent="0.25">
      <c r="B8" s="334" t="s">
        <v>224</v>
      </c>
      <c r="C8" s="331"/>
      <c r="D8" s="237">
        <f>BALANCES!C13/BALANCES!F11</f>
        <v>1.9860292888672464</v>
      </c>
      <c r="E8" s="237">
        <f>BALANCES!K13/BALANCES!N11</f>
        <v>1.0175588663676742</v>
      </c>
      <c r="F8" s="237">
        <f>BALANCES!C32/BALANCES!F30</f>
        <v>2.497390761834287</v>
      </c>
      <c r="G8" s="238" t="s">
        <v>221</v>
      </c>
    </row>
    <row r="9" spans="2:7" ht="13.2" x14ac:dyDescent="0.25">
      <c r="B9" s="337" t="s">
        <v>225</v>
      </c>
      <c r="C9" s="331"/>
      <c r="D9" s="237">
        <f>BALANCES!C10-BALANCES!F11</f>
        <v>93833.030967969185</v>
      </c>
      <c r="E9" s="237">
        <f>BALANCES!K10-BALANCES!N11</f>
        <v>1754.4941518318083</v>
      </c>
      <c r="F9" s="237">
        <f>BALANCES!C29-BALANCES!F30</f>
        <v>157101.4242822153</v>
      </c>
      <c r="G9" s="238">
        <f>BALANCES!K29-BALANCES!N30</f>
        <v>836237.20562207059</v>
      </c>
    </row>
    <row r="10" spans="2:7" ht="13.2" x14ac:dyDescent="0.25">
      <c r="B10" s="337" t="s">
        <v>226</v>
      </c>
      <c r="C10" s="331"/>
      <c r="D10" s="237">
        <f>BALANCES!F7/(BALANCES!F6+BALANCES!F5)*100</f>
        <v>0</v>
      </c>
      <c r="E10" s="237">
        <f>BALANCES!N7/(BALANCES!N6+BALANCES!N5)*100</f>
        <v>-7.203568124468708</v>
      </c>
      <c r="F10" s="237">
        <f>BALANCES!F26/(BALANCES!F25+BALANCES!F24)*100</f>
        <v>46.640524970793976</v>
      </c>
      <c r="G10" s="238">
        <f>BALANCES!N26/(BALANCES!N25+BALANCES!N24)*100</f>
        <v>93.369925119336813</v>
      </c>
    </row>
    <row r="11" spans="2:7" ht="13.2" x14ac:dyDescent="0.25">
      <c r="B11" s="338" t="s">
        <v>227</v>
      </c>
      <c r="C11" s="287"/>
      <c r="D11" s="240">
        <f>BALANCES!F7/BALANCES!F4</f>
        <v>0</v>
      </c>
      <c r="E11" s="240">
        <f>BALANCES!N7/BALANCES!N4</f>
        <v>-7.7627641266756031E-2</v>
      </c>
      <c r="F11" s="240">
        <f>BALANCES!F26/BALANCES!F23</f>
        <v>0.31806027003847165</v>
      </c>
      <c r="G11" s="241">
        <f>BALANCES!N26/BALANCES!N23</f>
        <v>0.48285649933263541</v>
      </c>
    </row>
    <row r="12" spans="2:7" ht="13.2" x14ac:dyDescent="0.25">
      <c r="B12" s="339"/>
      <c r="C12" s="257"/>
      <c r="D12" s="242"/>
      <c r="E12" s="243"/>
      <c r="F12" s="243"/>
      <c r="G12" s="243"/>
    </row>
    <row r="13" spans="2:7" ht="27" customHeight="1" x14ac:dyDescent="0.25">
      <c r="B13" s="340" t="s">
        <v>228</v>
      </c>
      <c r="C13" s="258"/>
      <c r="D13" s="244"/>
      <c r="E13" s="245" t="s">
        <v>215</v>
      </c>
      <c r="F13" s="246" t="s">
        <v>216</v>
      </c>
      <c r="G13" s="247" t="s">
        <v>217</v>
      </c>
    </row>
    <row r="14" spans="2:7" ht="13.2" x14ac:dyDescent="0.25">
      <c r="B14" s="335" t="s">
        <v>229</v>
      </c>
      <c r="C14" s="331"/>
      <c r="D14" s="248"/>
      <c r="E14" s="237">
        <f>E15+'CUENTA DE PYG'!D11</f>
        <v>20395.549999999814</v>
      </c>
      <c r="F14" s="239">
        <f>F15+'CUENTA DE PYG'!L11</f>
        <v>340193.5</v>
      </c>
      <c r="G14" s="238">
        <f>'CUENTA DE PYG'!F27-'CUENTA DE PYG'!F29+'CUENTA DE PYG'!D35</f>
        <v>893693.5</v>
      </c>
    </row>
    <row r="15" spans="2:7" ht="13.2" x14ac:dyDescent="0.25">
      <c r="B15" s="335" t="s">
        <v>230</v>
      </c>
      <c r="C15" s="331"/>
      <c r="D15" s="248"/>
      <c r="E15" s="249">
        <f>'CUENTA DE PYG'!F21+'CUENTA DE PYG'!D20+'CUENTA DE PYG'!D17</f>
        <v>-23464.450000000186</v>
      </c>
      <c r="F15" s="239">
        <f>'CUENTA DE PYG'!N21+'CUENTA DE PYG'!L20+'CUENTA DE PYG'!L17</f>
        <v>296333.5</v>
      </c>
      <c r="G15" s="238">
        <f>'CUENTA DE PYG'!F45+'CUENTA DE PYG'!D44+'CUENTA DE PYG'!D41</f>
        <v>849833.5</v>
      </c>
    </row>
    <row r="16" spans="2:7" ht="13.2" x14ac:dyDescent="0.25">
      <c r="B16" s="335" t="s">
        <v>231</v>
      </c>
      <c r="C16" s="331"/>
      <c r="D16" s="248"/>
      <c r="E16" s="250">
        <f>'CUENTA DE PYG'!F13/BALANCES!C15</f>
        <v>-2.9330562500000233E-2</v>
      </c>
      <c r="F16" s="239">
        <f>'CUENTA DE PYG'!N13/BALANCES!C34</f>
        <v>0.37734941628246638</v>
      </c>
      <c r="G16" s="238">
        <f>'CUENTA DE PYG'!F37/BALANCES!K34</f>
        <v>0.64593620735886081</v>
      </c>
    </row>
    <row r="17" spans="2:7" ht="13.2" x14ac:dyDescent="0.25">
      <c r="B17" s="335" t="s">
        <v>232</v>
      </c>
      <c r="C17" s="331"/>
      <c r="D17" s="248"/>
      <c r="E17" s="250">
        <f>E15/'VENTA Y GASTO'!L10</f>
        <v>-1.0899502972872625E-2</v>
      </c>
      <c r="F17" s="237">
        <f>F15/'VENTA Y GASTO'!M10</f>
        <v>9.783858293713682E-2</v>
      </c>
      <c r="G17" s="238">
        <f>G15/'VENTA Y GASTO'!N10</f>
        <v>0.18794973018400565</v>
      </c>
    </row>
    <row r="18" spans="2:7" ht="13.2" x14ac:dyDescent="0.25">
      <c r="B18" s="336" t="s">
        <v>233</v>
      </c>
      <c r="C18" s="287"/>
      <c r="D18" s="251"/>
      <c r="E18" s="252">
        <f>BALANCES!N7/BALANCES!K15</f>
        <v>-5.3852845295826839E-2</v>
      </c>
      <c r="F18" s="240">
        <f>BALANCES!F26/BALANCES!C34</f>
        <v>0.27556727639836487</v>
      </c>
      <c r="G18" s="241">
        <f>BALANCES!N26/BALANCES!K34</f>
        <v>0.48285649933263763</v>
      </c>
    </row>
    <row r="19" spans="2:7" ht="13.2" x14ac:dyDescent="0.25">
      <c r="B19" s="3"/>
      <c r="C19" s="3"/>
    </row>
  </sheetData>
  <mergeCells count="17">
    <mergeCell ref="B7:C7"/>
    <mergeCell ref="B8:C8"/>
    <mergeCell ref="B16:C16"/>
    <mergeCell ref="B17:C17"/>
    <mergeCell ref="B18:C18"/>
    <mergeCell ref="B9:C9"/>
    <mergeCell ref="B10:C10"/>
    <mergeCell ref="B11:C11"/>
    <mergeCell ref="B12:C12"/>
    <mergeCell ref="B13:C13"/>
    <mergeCell ref="B14:C14"/>
    <mergeCell ref="B15:C15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VENTA Y GASTO</vt:lpstr>
      <vt:lpstr>TESORERIA</vt:lpstr>
      <vt:lpstr>PRESTAMO</vt:lpstr>
      <vt:lpstr>CUENTA DE PYG</vt:lpstr>
      <vt:lpstr>BALANCES</vt:lpstr>
      <vt:lpstr>ANALISIS DE LA INVERSION</vt:lpstr>
      <vt:lpstr>AMORTIZACION</vt:lpstr>
      <vt:lpstr>ANÁLISIS ECONÓMICO FINANCIERO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ROQUES SANCHEZ</cp:lastModifiedBy>
  <dcterms:modified xsi:type="dcterms:W3CDTF">2026-10-13T11:19:41Z</dcterms:modified>
</cp:coreProperties>
</file>