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Uni\2M Segundo de master\Economía\DAEM\"/>
    </mc:Choice>
  </mc:AlternateContent>
  <xr:revisionPtr revIDLastSave="0" documentId="13_ncr:1_{2385411B-9584-4D54-A638-A086F8B2E818}" xr6:coauthVersionLast="47" xr6:coauthVersionMax="47" xr10:uidLastSave="{00000000-0000-0000-0000-000000000000}"/>
  <bookViews>
    <workbookView xWindow="-108" yWindow="-108" windowWidth="23256" windowHeight="12456" activeTab="2" xr2:uid="{77443C58-6BCA-4B7C-A1EF-7B0B2BF84717}"/>
  </bookViews>
  <sheets>
    <sheet name="Datos principales" sheetId="1" r:id="rId1"/>
    <sheet name="Terminales" sheetId="2" r:id="rId2"/>
    <sheet name="Paises" sheetId="3" r:id="rId3"/>
    <sheet name="Operaciones" sheetId="5" r:id="rId4"/>
    <sheet name="Trade Market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D13" i="2"/>
  <c r="C13" i="2"/>
  <c r="D12" i="2"/>
  <c r="C12" i="2"/>
  <c r="H2" i="2"/>
  <c r="G2" i="2"/>
  <c r="E32" i="3"/>
  <c r="E33" i="3" s="1"/>
  <c r="C32" i="3"/>
  <c r="C33" i="3" s="1"/>
  <c r="B32" i="3"/>
  <c r="B25" i="3"/>
  <c r="B22" i="3"/>
  <c r="B19" i="3"/>
  <c r="B16" i="3"/>
  <c r="E2" i="3"/>
  <c r="C2" i="3"/>
  <c r="D2" i="2"/>
  <c r="C2" i="2"/>
</calcChain>
</file>

<file path=xl/sharedStrings.xml><?xml version="1.0" encoding="utf-8"?>
<sst xmlns="http://schemas.openxmlformats.org/spreadsheetml/2006/main" count="166" uniqueCount="138">
  <si>
    <t>Opción 1</t>
  </si>
  <si>
    <t>Opción 2</t>
  </si>
  <si>
    <t>Opción 3</t>
  </si>
  <si>
    <t>Opción 4</t>
  </si>
  <si>
    <t>Producto principal</t>
  </si>
  <si>
    <t>FunSmart</t>
  </si>
  <si>
    <t>Excel Ultra</t>
  </si>
  <si>
    <t>Mercado</t>
  </si>
  <si>
    <t>Rylands</t>
  </si>
  <si>
    <t>Mingukia</t>
  </si>
  <si>
    <t>Canales</t>
  </si>
  <si>
    <t>Coste Fábrica</t>
  </si>
  <si>
    <t>Coste Materias Primas</t>
  </si>
  <si>
    <t>Distribución internacional</t>
  </si>
  <si>
    <t>mayor coste</t>
  </si>
  <si>
    <t>menor coste</t>
  </si>
  <si>
    <t>RRHH</t>
  </si>
  <si>
    <t xml:space="preserve">Operarios </t>
  </si>
  <si>
    <t>Ensambladores</t>
  </si>
  <si>
    <t>Supervisores</t>
  </si>
  <si>
    <t>Técnicos</t>
  </si>
  <si>
    <t>Costes Laborales</t>
  </si>
  <si>
    <t>Cámara [Mpx]</t>
  </si>
  <si>
    <t>RAM [GB]</t>
  </si>
  <si>
    <t>Batería [mAh]</t>
  </si>
  <si>
    <t>Pantalla [pulgadas]</t>
  </si>
  <si>
    <t>Garantía</t>
  </si>
  <si>
    <t>Funda</t>
  </si>
  <si>
    <t>NO</t>
  </si>
  <si>
    <t>Almacenamiento [GB]</t>
  </si>
  <si>
    <t>30 - 1,5</t>
  </si>
  <si>
    <t>Resistencia acuática [min - m]</t>
  </si>
  <si>
    <t>NO (splashes)</t>
  </si>
  <si>
    <t>Habitantes [Mill]</t>
  </si>
  <si>
    <t>PIB</t>
  </si>
  <si>
    <t>Habitantes cualificados</t>
  </si>
  <si>
    <t>Alto</t>
  </si>
  <si>
    <t>Media sueldos</t>
  </si>
  <si>
    <t>Centros comerciales</t>
  </si>
  <si>
    <t>Puntos de distribución</t>
  </si>
  <si>
    <t>Consolidado y próspero</t>
  </si>
  <si>
    <t>SI</t>
  </si>
  <si>
    <t>Minoristas</t>
  </si>
  <si>
    <t>Tienda online fabricante</t>
  </si>
  <si>
    <t>Operadoras</t>
  </si>
  <si>
    <t>Marketplace</t>
  </si>
  <si>
    <t>media-baja</t>
  </si>
  <si>
    <t>media-alta</t>
  </si>
  <si>
    <t xml:space="preserve">32% - 76% </t>
  </si>
  <si>
    <t>10% - 24%</t>
  </si>
  <si>
    <t xml:space="preserve">16% - 29% </t>
  </si>
  <si>
    <t>38% - 71%</t>
  </si>
  <si>
    <t>9% - 30%</t>
  </si>
  <si>
    <t>21% - 70%</t>
  </si>
  <si>
    <t>43% - 58%</t>
  </si>
  <si>
    <t>31% - 42%</t>
  </si>
  <si>
    <t>Ventas [total - comparativa]</t>
  </si>
  <si>
    <t>Gente con móvil [%]</t>
  </si>
  <si>
    <t>Trafico web por movil [%]</t>
  </si>
  <si>
    <t>Comprar móvil nuevo [%]</t>
  </si>
  <si>
    <t>Plantear móvil nuevo [%]</t>
  </si>
  <si>
    <t>49*</t>
  </si>
  <si>
    <t>* Tasa de natalidad muy baja, alta densidad de población, tras una multiplicación de población.</t>
  </si>
  <si>
    <t>Medio</t>
  </si>
  <si>
    <t>Alta</t>
  </si>
  <si>
    <t>Formación</t>
  </si>
  <si>
    <t>*País muy sensible a las modas</t>
  </si>
  <si>
    <t>*Crecio mucho en los últimos años</t>
  </si>
  <si>
    <t>19% - 54%</t>
  </si>
  <si>
    <t>21% - 50%</t>
  </si>
  <si>
    <t>20% - 41%</t>
  </si>
  <si>
    <t>29% - 59%</t>
  </si>
  <si>
    <t>42% - 57%</t>
  </si>
  <si>
    <t>31% - 43%</t>
  </si>
  <si>
    <t>17% - 46%</t>
  </si>
  <si>
    <t>12,5% (60% alto - 40% baja)</t>
  </si>
  <si>
    <t>*Crecio mucho en los últimos años, menos prospero y consolidado</t>
  </si>
  <si>
    <t>Canales de distribución</t>
  </si>
  <si>
    <t>Costes fijos anuales</t>
  </si>
  <si>
    <t>Comisión sobre ventas</t>
  </si>
  <si>
    <t>Máquinas</t>
  </si>
  <si>
    <t>Operarios de fabricación</t>
  </si>
  <si>
    <t>Operarios de ensamblado</t>
  </si>
  <si>
    <t>Supervisores de calidad</t>
  </si>
  <si>
    <t>Técnicos de mantenimiento</t>
  </si>
  <si>
    <t>Estructura de la fábrica [nº]</t>
  </si>
  <si>
    <t>Organización</t>
  </si>
  <si>
    <t>Turnos (8h)</t>
  </si>
  <si>
    <t>8-16 / 16-00</t>
  </si>
  <si>
    <t>Jornada laboral [h/sem]</t>
  </si>
  <si>
    <t>Vacaciones [sem]</t>
  </si>
  <si>
    <t>Operarios Fabricación / maq</t>
  </si>
  <si>
    <t>Operarios Ensamblado / maq</t>
  </si>
  <si>
    <t>Supervisor / maq</t>
  </si>
  <si>
    <t>Técnico Mantenimiento / maq</t>
  </si>
  <si>
    <t>Calidad</t>
  </si>
  <si>
    <t>Costes Fábrica anuales extra</t>
  </si>
  <si>
    <t>Coste fabricación FunSmart</t>
  </si>
  <si>
    <t>Coste fabricación Excel</t>
  </si>
  <si>
    <t>Coste en Rylands</t>
  </si>
  <si>
    <t>Coste en Mingukia</t>
  </si>
  <si>
    <t>Precio base materia prima*</t>
  </si>
  <si>
    <t>*Cada proveedor extra genera un gasto adicional del 5% en materias primas, dificil abastecimiento, recomendado tener mas de un proveedor</t>
  </si>
  <si>
    <t>Costes de distribución</t>
  </si>
  <si>
    <t>Funcionalidad</t>
  </si>
  <si>
    <t>Extensión de garantía obligatoria</t>
  </si>
  <si>
    <t>Funda protectora incluida</t>
  </si>
  <si>
    <t>+1 GB de RAM</t>
  </si>
  <si>
    <t>+2 GB de RAM</t>
  </si>
  <si>
    <t>+3 GB de RAM</t>
  </si>
  <si>
    <t>+4 GB de RAM</t>
  </si>
  <si>
    <t>+8 GB de RAM</t>
  </si>
  <si>
    <t>Coste ud</t>
  </si>
  <si>
    <t>Operarios especializados</t>
  </si>
  <si>
    <t>Operarios no especializados</t>
  </si>
  <si>
    <t>* Difieren costes de contratación y formación en cada pais</t>
  </si>
  <si>
    <t>* De productividad tambien</t>
  </si>
  <si>
    <t>Intervalos distribución datos</t>
  </si>
  <si>
    <t>I1</t>
  </si>
  <si>
    <t>I2</t>
  </si>
  <si>
    <t>I3</t>
  </si>
  <si>
    <t>+75%</t>
  </si>
  <si>
    <t>+50%</t>
  </si>
  <si>
    <t>+25%</t>
  </si>
  <si>
    <t>Experto</t>
  </si>
  <si>
    <t>Avanzado</t>
  </si>
  <si>
    <t>Básico</t>
  </si>
  <si>
    <t>Cualificación</t>
  </si>
  <si>
    <t>* Afecta en costes y en clima y formacion</t>
  </si>
  <si>
    <t>* Afecta en la productividad</t>
  </si>
  <si>
    <t>ORIG.</t>
  </si>
  <si>
    <t>DEST</t>
  </si>
  <si>
    <t>Coste salarial anual</t>
  </si>
  <si>
    <t>Coste contratación</t>
  </si>
  <si>
    <t>Coste formación</t>
  </si>
  <si>
    <t>*imputados, integro, al inicio del ejercicio</t>
  </si>
  <si>
    <t>*repartidos uniforme a lo largo</t>
  </si>
  <si>
    <t>*repartidos de forma uniforme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</si>
</sst>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9B4FF"/>
        <bgColor indexed="64"/>
      </patternFill>
    </fill>
    <fill>
      <patternFill patternType="solid">
        <fgColor rgb="FF93D6FF"/>
        <bgColor indexed="64"/>
      </patternFill>
    </fill>
    <fill>
      <patternFill patternType="solid">
        <fgColor rgb="FFBDDE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4" borderId="4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0" fillId="2" borderId="4" xfId="0" applyFont="1" applyFill="1" applyBorder="1"/>
    <xf numFmtId="0" fontId="0" fillId="2" borderId="2" xfId="0" applyFont="1" applyFill="1" applyBorder="1"/>
    <xf numFmtId="6" fontId="0" fillId="0" borderId="3" xfId="0" applyNumberFormat="1" applyBorder="1"/>
    <xf numFmtId="6" fontId="0" fillId="0" borderId="1" xfId="0" applyNumberFormat="1" applyBorder="1"/>
    <xf numFmtId="0" fontId="1" fillId="2" borderId="4" xfId="0" applyFont="1" applyFill="1" applyBorder="1"/>
    <xf numFmtId="0" fontId="1" fillId="2" borderId="2" xfId="0" applyFont="1" applyFill="1" applyBorder="1"/>
    <xf numFmtId="0" fontId="0" fillId="0" borderId="8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6" fontId="0" fillId="0" borderId="6" xfId="0" applyNumberFormat="1" applyBorder="1" applyAlignment="1">
      <alignment horizontal="center" vertical="center"/>
    </xf>
    <xf numFmtId="0" fontId="1" fillId="5" borderId="4" xfId="0" applyFont="1" applyFill="1" applyBorder="1"/>
    <xf numFmtId="0" fontId="1" fillId="5" borderId="2" xfId="0" applyFont="1" applyFill="1" applyBorder="1"/>
    <xf numFmtId="0" fontId="1" fillId="5" borderId="5" xfId="0" applyFont="1" applyFill="1" applyBorder="1"/>
    <xf numFmtId="0" fontId="1" fillId="6" borderId="2" xfId="0" applyFont="1" applyFill="1" applyBorder="1"/>
    <xf numFmtId="0" fontId="1" fillId="6" borderId="5" xfId="0" applyFont="1" applyFill="1" applyBorder="1"/>
    <xf numFmtId="0" fontId="0" fillId="7" borderId="2" xfId="0" applyFont="1" applyFill="1" applyBorder="1"/>
    <xf numFmtId="0" fontId="0" fillId="7" borderId="5" xfId="0" applyFont="1" applyFill="1" applyBorder="1"/>
    <xf numFmtId="0" fontId="0" fillId="7" borderId="4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0" fillId="7" borderId="2" xfId="0" applyNumberFormat="1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6" fontId="0" fillId="0" borderId="3" xfId="0" applyNumberFormat="1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/>
    </xf>
    <xf numFmtId="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quotePrefix="1"/>
    <xf numFmtId="0" fontId="0" fillId="10" borderId="2" xfId="0" applyFill="1" applyBorder="1" applyAlignment="1">
      <alignment horizontal="center"/>
    </xf>
    <xf numFmtId="0" fontId="0" fillId="10" borderId="2" xfId="0" applyFill="1" applyBorder="1"/>
    <xf numFmtId="0" fontId="0" fillId="11" borderId="2" xfId="0" applyFill="1" applyBorder="1" applyAlignment="1">
      <alignment horizontal="center"/>
    </xf>
    <xf numFmtId="8" fontId="0" fillId="11" borderId="2" xfId="0" applyNumberFormat="1" applyFill="1" applyBorder="1" applyAlignment="1">
      <alignment horizontal="center"/>
    </xf>
    <xf numFmtId="0" fontId="0" fillId="11" borderId="2" xfId="0" quotePrefix="1" applyFill="1" applyBorder="1" applyAlignment="1">
      <alignment horizontal="center"/>
    </xf>
    <xf numFmtId="6" fontId="0" fillId="11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 textRotation="45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9" fontId="0" fillId="0" borderId="0" xfId="0" quotePrefix="1" applyNumberFormat="1"/>
    <xf numFmtId="6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  <color rgb="FFBDDEFF"/>
      <color rgb="FF69B4FF"/>
      <color rgb="FF93D6FF"/>
      <color rgb="FFD9FEFF"/>
      <color rgb="FFCCECFF"/>
      <color rgb="FFFF99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58828</xdr:colOff>
      <xdr:row>1</xdr:row>
      <xdr:rowOff>49436</xdr:rowOff>
    </xdr:from>
    <xdr:to>
      <xdr:col>22</xdr:col>
      <xdr:colOff>449471</xdr:colOff>
      <xdr:row>16</xdr:row>
      <xdr:rowOff>30070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89DD20-FEE4-CD02-B04B-33CE12A4B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5885" y="245379"/>
          <a:ext cx="6747900" cy="2919777"/>
        </a:xfrm>
        <a:prstGeom prst="rect">
          <a:avLst/>
        </a:prstGeom>
      </xdr:spPr>
    </xdr:pic>
    <xdr:clientData/>
  </xdr:twoCellAnchor>
  <xdr:twoCellAnchor editAs="oneCell">
    <xdr:from>
      <xdr:col>13</xdr:col>
      <xdr:colOff>577673</xdr:colOff>
      <xdr:row>19</xdr:row>
      <xdr:rowOff>101027</xdr:rowOff>
    </xdr:from>
    <xdr:to>
      <xdr:col>22</xdr:col>
      <xdr:colOff>528452</xdr:colOff>
      <xdr:row>34</xdr:row>
      <xdr:rowOff>44013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30F6C1-FB9D-8F83-4E4E-E29D3FEE4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0073" y="3432056"/>
          <a:ext cx="7102693" cy="2873037"/>
        </a:xfrm>
        <a:prstGeom prst="rect">
          <a:avLst/>
        </a:prstGeom>
      </xdr:spPr>
    </xdr:pic>
    <xdr:clientData/>
  </xdr:twoCellAnchor>
  <xdr:twoCellAnchor editAs="oneCell">
    <xdr:from>
      <xdr:col>13</xdr:col>
      <xdr:colOff>689918</xdr:colOff>
      <xdr:row>37</xdr:row>
      <xdr:rowOff>60780</xdr:rowOff>
    </xdr:from>
    <xdr:to>
      <xdr:col>21</xdr:col>
      <xdr:colOff>577116</xdr:colOff>
      <xdr:row>58</xdr:row>
      <xdr:rowOff>36224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AC00AE4-17FC-30B2-EDE6-59F43D468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3783" y="6846699"/>
          <a:ext cx="6230333" cy="3867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86264</xdr:colOff>
      <xdr:row>1</xdr:row>
      <xdr:rowOff>163834</xdr:rowOff>
    </xdr:from>
    <xdr:to>
      <xdr:col>11</xdr:col>
      <xdr:colOff>172528</xdr:colOff>
      <xdr:row>29</xdr:row>
      <xdr:rowOff>75229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778037-7808-48D2-96FE-9CEA14DC5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170" y="350740"/>
          <a:ext cx="7993811" cy="5144753"/>
        </a:xfrm>
        <a:prstGeom prst="rect">
          <a:avLst/>
        </a:prstGeom>
      </xdr:spPr>
    </xdr:pic>
    <xdr:clientData/>
  </xdr:twoCellAnchor>
  <xdr:twoCellAnchor editAs="oneCell">
    <xdr:from>
      <xdr:col>11</xdr:col>
      <xdr:colOff>699672</xdr:colOff>
      <xdr:row>0</xdr:row>
      <xdr:rowOff>152934</xdr:rowOff>
    </xdr:from>
    <xdr:to>
      <xdr:col>22</xdr:col>
      <xdr:colOff>531962</xdr:colOff>
      <xdr:row>30</xdr:row>
      <xdr:rowOff>137858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693F8-E575-413E-8429-76C17E0B4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248"/>
        <a:stretch>
          <a:fillRect/>
        </a:stretch>
      </xdr:blipFill>
      <xdr:spPr>
        <a:xfrm>
          <a:off x="8794125" y="152934"/>
          <a:ext cx="8530592" cy="5592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3F68-71ED-4C57-B7EC-A75D87796E9B}">
  <dimension ref="B1:F10"/>
  <sheetViews>
    <sheetView zoomScale="93" zoomScaleNormal="100" workbookViewId="0">
      <selection activeCell="H2" sqref="H2"/>
    </sheetView>
  </sheetViews>
  <sheetFormatPr baseColWidth="10" defaultRowHeight="14.4" x14ac:dyDescent="0.3"/>
  <cols>
    <col min="1" max="1" width="2.77734375" customWidth="1"/>
    <col min="2" max="26" width="27.77734375" customWidth="1"/>
  </cols>
  <sheetData>
    <row r="1" spans="2:6" ht="15" thickBot="1" x14ac:dyDescent="0.35"/>
    <row r="2" spans="2:6" ht="15" thickBot="1" x14ac:dyDescent="0.35">
      <c r="B2" s="2"/>
      <c r="C2" s="3" t="s">
        <v>0</v>
      </c>
      <c r="D2" s="4" t="s">
        <v>1</v>
      </c>
      <c r="E2" s="4" t="s">
        <v>2</v>
      </c>
      <c r="F2" s="4" t="s">
        <v>3</v>
      </c>
    </row>
    <row r="3" spans="2:6" ht="15" thickBot="1" x14ac:dyDescent="0.35">
      <c r="B3" s="8" t="s">
        <v>4</v>
      </c>
      <c r="C3" s="5" t="s">
        <v>5</v>
      </c>
      <c r="D3" s="7" t="s">
        <v>6</v>
      </c>
      <c r="E3" s="7"/>
      <c r="F3" s="7"/>
    </row>
    <row r="4" spans="2:6" ht="15" thickBot="1" x14ac:dyDescent="0.35">
      <c r="B4" s="9" t="s">
        <v>12</v>
      </c>
      <c r="C4" s="10">
        <v>38</v>
      </c>
      <c r="D4" s="11">
        <v>204</v>
      </c>
      <c r="E4" s="1"/>
      <c r="F4" s="1"/>
    </row>
    <row r="5" spans="2:6" ht="15" thickBot="1" x14ac:dyDescent="0.35">
      <c r="B5" s="9" t="s">
        <v>7</v>
      </c>
      <c r="C5" s="6" t="s">
        <v>8</v>
      </c>
      <c r="D5" s="1" t="s">
        <v>9</v>
      </c>
      <c r="E5" s="1"/>
      <c r="F5" s="1"/>
    </row>
    <row r="6" spans="2:6" ht="15" thickBot="1" x14ac:dyDescent="0.35">
      <c r="B6" s="9" t="s">
        <v>11</v>
      </c>
      <c r="C6" s="10">
        <v>1950000000</v>
      </c>
      <c r="D6" s="11">
        <v>1188000000</v>
      </c>
      <c r="E6" s="1"/>
      <c r="F6" s="1"/>
    </row>
    <row r="7" spans="2:6" ht="15" thickBot="1" x14ac:dyDescent="0.35">
      <c r="B7" s="9" t="s">
        <v>13</v>
      </c>
      <c r="C7" s="6" t="s">
        <v>14</v>
      </c>
      <c r="D7" s="1" t="s">
        <v>15</v>
      </c>
      <c r="E7" s="1"/>
      <c r="F7" s="1"/>
    </row>
    <row r="8" spans="2:6" ht="15" thickBot="1" x14ac:dyDescent="0.35">
      <c r="B8" s="9" t="s">
        <v>10</v>
      </c>
      <c r="C8" s="6" t="s">
        <v>42</v>
      </c>
      <c r="D8" s="1" t="s">
        <v>43</v>
      </c>
      <c r="E8" s="1" t="s">
        <v>44</v>
      </c>
      <c r="F8" s="1" t="s">
        <v>45</v>
      </c>
    </row>
    <row r="9" spans="2:6" ht="15" thickBot="1" x14ac:dyDescent="0.35">
      <c r="B9" s="8" t="s">
        <v>16</v>
      </c>
      <c r="C9" s="6" t="s">
        <v>17</v>
      </c>
      <c r="D9" s="1" t="s">
        <v>18</v>
      </c>
      <c r="E9" s="1" t="s">
        <v>19</v>
      </c>
      <c r="F9" s="1" t="s">
        <v>20</v>
      </c>
    </row>
    <row r="10" spans="2:6" x14ac:dyDescent="0.3">
      <c r="B10" s="8" t="s">
        <v>21</v>
      </c>
      <c r="C10" s="6" t="s">
        <v>14</v>
      </c>
      <c r="D10" s="1" t="s">
        <v>15</v>
      </c>
      <c r="E10" s="1"/>
      <c r="F1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046F-EB74-406E-B872-3FD7111C00A1}">
  <dimension ref="B1:H14"/>
  <sheetViews>
    <sheetView workbookViewId="0">
      <selection activeCell="G19" sqref="G19"/>
    </sheetView>
  </sheetViews>
  <sheetFormatPr baseColWidth="10" defaultRowHeight="14.4" x14ac:dyDescent="0.3"/>
  <cols>
    <col min="1" max="1" width="2.77734375" customWidth="1"/>
    <col min="2" max="4" width="27.77734375" customWidth="1"/>
    <col min="7" max="8" width="27.77734375" customWidth="1"/>
  </cols>
  <sheetData>
    <row r="1" spans="2:8" ht="15" thickBot="1" x14ac:dyDescent="0.35"/>
    <row r="2" spans="2:8" ht="15" thickBot="1" x14ac:dyDescent="0.35">
      <c r="B2" s="2"/>
      <c r="C2" s="3" t="str">
        <f>'Datos principales'!C3</f>
        <v>FunSmart</v>
      </c>
      <c r="D2" s="3" t="str">
        <f>'Datos principales'!D3</f>
        <v>Excel Ultra</v>
      </c>
      <c r="F2" s="40"/>
      <c r="G2" s="3" t="str">
        <f>C2</f>
        <v>FunSmart</v>
      </c>
      <c r="H2" s="3" t="str">
        <f>D2</f>
        <v>Excel Ultra</v>
      </c>
    </row>
    <row r="3" spans="2:8" ht="15" thickBot="1" x14ac:dyDescent="0.35">
      <c r="B3" s="12" t="s">
        <v>25</v>
      </c>
      <c r="C3" s="14">
        <v>6.7</v>
      </c>
      <c r="D3" s="14">
        <v>6.7</v>
      </c>
      <c r="F3" s="39">
        <v>1</v>
      </c>
      <c r="G3" s="14">
        <v>1.6619999999999999</v>
      </c>
      <c r="H3" s="14">
        <v>3.242</v>
      </c>
    </row>
    <row r="4" spans="2:8" ht="15" thickBot="1" x14ac:dyDescent="0.35">
      <c r="B4" s="13" t="s">
        <v>22</v>
      </c>
      <c r="C4" s="15">
        <v>50</v>
      </c>
      <c r="D4" s="15">
        <v>50</v>
      </c>
      <c r="F4" s="39">
        <v>2</v>
      </c>
      <c r="G4" s="15">
        <v>1.68</v>
      </c>
      <c r="H4" s="15">
        <v>3.2759999999999998</v>
      </c>
    </row>
    <row r="5" spans="2:8" ht="15" thickBot="1" x14ac:dyDescent="0.35">
      <c r="B5" s="13" t="s">
        <v>23</v>
      </c>
      <c r="C5" s="15">
        <v>4</v>
      </c>
      <c r="D5" s="15">
        <v>8</v>
      </c>
      <c r="F5" s="39">
        <v>3</v>
      </c>
      <c r="G5" s="15">
        <v>1.698</v>
      </c>
      <c r="H5" s="15">
        <v>3.3109999999999999</v>
      </c>
    </row>
    <row r="6" spans="2:8" ht="15" thickBot="1" x14ac:dyDescent="0.35">
      <c r="B6" s="13" t="s">
        <v>24</v>
      </c>
      <c r="C6" s="15">
        <v>5000</v>
      </c>
      <c r="D6" s="15">
        <v>4900</v>
      </c>
      <c r="F6" s="39">
        <v>4</v>
      </c>
      <c r="G6" s="15">
        <v>1.7330000000000001</v>
      </c>
      <c r="H6" s="15">
        <v>3.38</v>
      </c>
    </row>
    <row r="7" spans="2:8" ht="15" thickBot="1" x14ac:dyDescent="0.35">
      <c r="B7" s="13" t="s">
        <v>26</v>
      </c>
      <c r="C7" s="15" t="s">
        <v>28</v>
      </c>
      <c r="D7" s="15" t="s">
        <v>28</v>
      </c>
      <c r="F7" s="39">
        <v>5</v>
      </c>
      <c r="G7" s="15">
        <v>1.768</v>
      </c>
      <c r="H7" s="15">
        <v>3.4489999999999998</v>
      </c>
    </row>
    <row r="8" spans="2:8" ht="15" thickBot="1" x14ac:dyDescent="0.35">
      <c r="B8" s="13" t="s">
        <v>27</v>
      </c>
      <c r="C8" s="15" t="s">
        <v>28</v>
      </c>
      <c r="D8" s="15" t="s">
        <v>28</v>
      </c>
      <c r="F8" s="39">
        <v>6</v>
      </c>
      <c r="G8" s="15">
        <v>1.786</v>
      </c>
      <c r="H8" s="15">
        <v>3.4830000000000001</v>
      </c>
    </row>
    <row r="9" spans="2:8" ht="15" thickBot="1" x14ac:dyDescent="0.35">
      <c r="B9" s="12" t="s">
        <v>29</v>
      </c>
      <c r="C9" s="15">
        <v>128</v>
      </c>
      <c r="D9" s="15">
        <v>512</v>
      </c>
      <c r="F9" s="39">
        <v>7</v>
      </c>
      <c r="G9" s="15">
        <v>1.804</v>
      </c>
      <c r="H9" s="15">
        <v>3.5179999999999998</v>
      </c>
    </row>
    <row r="10" spans="2:8" ht="15" thickBot="1" x14ac:dyDescent="0.35">
      <c r="B10" s="12" t="s">
        <v>95</v>
      </c>
      <c r="C10" s="15"/>
      <c r="D10" s="15"/>
      <c r="F10" s="39">
        <v>8</v>
      </c>
      <c r="G10" s="15">
        <v>1.857</v>
      </c>
      <c r="H10" s="15">
        <v>3.621</v>
      </c>
    </row>
    <row r="11" spans="2:8" ht="15" thickBot="1" x14ac:dyDescent="0.35">
      <c r="B11" s="13" t="s">
        <v>31</v>
      </c>
      <c r="C11" s="15" t="s">
        <v>32</v>
      </c>
      <c r="D11" s="15" t="s">
        <v>30</v>
      </c>
      <c r="F11" s="39">
        <v>9</v>
      </c>
      <c r="G11" s="15">
        <v>1.91</v>
      </c>
      <c r="H11" s="15">
        <v>3.7250000000000001</v>
      </c>
    </row>
    <row r="12" spans="2:8" ht="15" thickBot="1" x14ac:dyDescent="0.35">
      <c r="B12" s="13" t="s">
        <v>99</v>
      </c>
      <c r="C12" s="42">
        <f>Paises!C34</f>
        <v>37</v>
      </c>
      <c r="D12" s="43">
        <f>Paises!E34</f>
        <v>34.78</v>
      </c>
      <c r="F12" s="39">
        <v>10</v>
      </c>
      <c r="G12" s="15">
        <v>1.998</v>
      </c>
      <c r="H12" s="15">
        <v>3.8969999999999998</v>
      </c>
    </row>
    <row r="13" spans="2:8" ht="15" thickBot="1" x14ac:dyDescent="0.35">
      <c r="B13" s="13" t="s">
        <v>100</v>
      </c>
      <c r="C13" s="42">
        <f>Paises!C35</f>
        <v>121</v>
      </c>
      <c r="D13" s="43">
        <f>Paises!E35</f>
        <v>113.74</v>
      </c>
    </row>
    <row r="14" spans="2:8" ht="15" thickBot="1" x14ac:dyDescent="0.35">
      <c r="B14" s="13" t="s">
        <v>101</v>
      </c>
      <c r="C14" s="42">
        <f>'Datos principales'!C4</f>
        <v>38</v>
      </c>
      <c r="D14" s="43">
        <f>'Datos principales'!D4</f>
        <v>204</v>
      </c>
      <c r="F1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DFD2-394A-4BA7-BE19-1B5E643370E0}">
  <dimension ref="B1:H35"/>
  <sheetViews>
    <sheetView tabSelected="1" zoomScale="43" workbookViewId="0">
      <selection activeCell="H19" sqref="H19"/>
    </sheetView>
  </sheetViews>
  <sheetFormatPr baseColWidth="10" defaultRowHeight="14.4" x14ac:dyDescent="0.3"/>
  <cols>
    <col min="1" max="1" width="2.77734375" customWidth="1"/>
    <col min="2" max="2" width="27.77734375" customWidth="1"/>
    <col min="3" max="6" width="14.33203125" customWidth="1"/>
  </cols>
  <sheetData>
    <row r="1" spans="2:8" ht="15" thickBot="1" x14ac:dyDescent="0.35"/>
    <row r="2" spans="2:8" ht="15" thickBot="1" x14ac:dyDescent="0.35">
      <c r="B2" s="2"/>
      <c r="C2" s="17" t="str">
        <f>'Datos principales'!C5</f>
        <v>Rylands</v>
      </c>
      <c r="D2" s="18"/>
      <c r="E2" s="17" t="str">
        <f>'Datos principales'!D5</f>
        <v>Mingukia</v>
      </c>
      <c r="F2" s="18"/>
    </row>
    <row r="3" spans="2:8" ht="15" thickBot="1" x14ac:dyDescent="0.35">
      <c r="B3" s="28" t="s">
        <v>33</v>
      </c>
      <c r="C3" s="19">
        <v>335</v>
      </c>
      <c r="D3" s="20"/>
      <c r="E3" s="19" t="s">
        <v>61</v>
      </c>
      <c r="F3" s="20"/>
      <c r="H3" t="s">
        <v>62</v>
      </c>
    </row>
    <row r="4" spans="2:8" ht="15" thickBot="1" x14ac:dyDescent="0.35">
      <c r="B4" s="29" t="s">
        <v>34</v>
      </c>
      <c r="C4" s="19" t="s">
        <v>36</v>
      </c>
      <c r="D4" s="20"/>
      <c r="E4" s="19" t="s">
        <v>36</v>
      </c>
      <c r="F4" s="20"/>
      <c r="H4" t="s">
        <v>67</v>
      </c>
    </row>
    <row r="5" spans="2:8" ht="15" thickBot="1" x14ac:dyDescent="0.35">
      <c r="B5" s="29" t="s">
        <v>35</v>
      </c>
      <c r="C5" s="19" t="s">
        <v>36</v>
      </c>
      <c r="D5" s="20"/>
      <c r="E5" s="19" t="s">
        <v>36</v>
      </c>
      <c r="F5" s="20"/>
    </row>
    <row r="6" spans="2:8" ht="15" thickBot="1" x14ac:dyDescent="0.35">
      <c r="B6" s="29" t="s">
        <v>37</v>
      </c>
      <c r="C6" s="19" t="s">
        <v>36</v>
      </c>
      <c r="D6" s="20"/>
      <c r="E6" s="19" t="s">
        <v>63</v>
      </c>
      <c r="F6" s="20"/>
    </row>
    <row r="7" spans="2:8" ht="15" thickBot="1" x14ac:dyDescent="0.35">
      <c r="B7" s="29" t="s">
        <v>133</v>
      </c>
      <c r="C7" s="27">
        <v>1900</v>
      </c>
      <c r="D7" s="20"/>
      <c r="E7" s="27">
        <v>1300</v>
      </c>
      <c r="F7" s="64"/>
      <c r="H7" t="s">
        <v>135</v>
      </c>
    </row>
    <row r="8" spans="2:8" ht="15" thickBot="1" x14ac:dyDescent="0.35">
      <c r="B8" s="29" t="s">
        <v>134</v>
      </c>
      <c r="C8" s="27">
        <v>700</v>
      </c>
      <c r="D8" s="64"/>
      <c r="E8" s="27">
        <v>1300</v>
      </c>
      <c r="F8" s="64"/>
      <c r="H8" t="s">
        <v>136</v>
      </c>
    </row>
    <row r="9" spans="2:8" ht="15" thickBot="1" x14ac:dyDescent="0.35">
      <c r="B9" s="29" t="s">
        <v>132</v>
      </c>
      <c r="C9" s="27">
        <v>35400</v>
      </c>
      <c r="D9" s="64"/>
      <c r="E9" s="27">
        <v>27300</v>
      </c>
      <c r="F9" s="64"/>
      <c r="H9" t="s">
        <v>137</v>
      </c>
    </row>
    <row r="10" spans="2:8" ht="15" thickBot="1" x14ac:dyDescent="0.35">
      <c r="B10" s="29" t="s">
        <v>65</v>
      </c>
      <c r="C10" s="19" t="s">
        <v>36</v>
      </c>
      <c r="D10" s="20"/>
      <c r="E10" s="19" t="s">
        <v>64</v>
      </c>
      <c r="F10" s="20"/>
    </row>
    <row r="11" spans="2:8" ht="15" thickBot="1" x14ac:dyDescent="0.35">
      <c r="B11" s="28" t="s">
        <v>38</v>
      </c>
      <c r="C11" s="19" t="s">
        <v>36</v>
      </c>
      <c r="D11" s="20"/>
      <c r="E11" s="19"/>
      <c r="F11" s="20"/>
    </row>
    <row r="12" spans="2:8" ht="15" thickBot="1" x14ac:dyDescent="0.35">
      <c r="B12" s="28" t="s">
        <v>39</v>
      </c>
      <c r="C12" s="19" t="s">
        <v>36</v>
      </c>
      <c r="D12" s="20"/>
      <c r="E12" s="19"/>
      <c r="F12" s="20"/>
    </row>
    <row r="13" spans="2:8" ht="15" thickBot="1" x14ac:dyDescent="0.35">
      <c r="B13" s="29" t="s">
        <v>40</v>
      </c>
      <c r="C13" s="19" t="s">
        <v>41</v>
      </c>
      <c r="D13" s="20"/>
      <c r="E13" s="19"/>
      <c r="F13" s="20"/>
      <c r="H13" t="s">
        <v>76</v>
      </c>
    </row>
    <row r="14" spans="2:8" ht="15" thickBot="1" x14ac:dyDescent="0.35">
      <c r="B14" s="29" t="s">
        <v>56</v>
      </c>
      <c r="C14" s="21" t="s">
        <v>46</v>
      </c>
      <c r="D14" s="23" t="s">
        <v>47</v>
      </c>
      <c r="E14" s="21" t="s">
        <v>46</v>
      </c>
      <c r="F14" s="23" t="s">
        <v>47</v>
      </c>
    </row>
    <row r="15" spans="2:8" ht="15" thickBot="1" x14ac:dyDescent="0.35">
      <c r="B15" s="30" t="s">
        <v>77</v>
      </c>
      <c r="C15" s="21"/>
      <c r="D15" s="23"/>
      <c r="E15" s="21"/>
      <c r="F15" s="22"/>
    </row>
    <row r="16" spans="2:8" ht="15" thickBot="1" x14ac:dyDescent="0.35">
      <c r="B16" s="31" t="str">
        <f>'Datos principales'!C8</f>
        <v>Minoristas</v>
      </c>
      <c r="C16" s="24" t="s">
        <v>48</v>
      </c>
      <c r="D16" s="23" t="s">
        <v>49</v>
      </c>
      <c r="E16" s="23" t="s">
        <v>74</v>
      </c>
      <c r="F16" s="22" t="s">
        <v>68</v>
      </c>
    </row>
    <row r="17" spans="2:8" ht="15" thickBot="1" x14ac:dyDescent="0.35">
      <c r="B17" s="33" t="s">
        <v>78</v>
      </c>
      <c r="C17" s="27">
        <v>5746312</v>
      </c>
      <c r="D17" s="26"/>
      <c r="E17" s="27">
        <v>4467212</v>
      </c>
      <c r="F17" s="20"/>
    </row>
    <row r="18" spans="2:8" ht="15" thickBot="1" x14ac:dyDescent="0.35">
      <c r="B18" s="34" t="s">
        <v>79</v>
      </c>
      <c r="C18" s="25">
        <v>0.06</v>
      </c>
      <c r="D18" s="26"/>
      <c r="E18" s="25">
        <v>0.05</v>
      </c>
      <c r="F18" s="20"/>
    </row>
    <row r="19" spans="2:8" ht="15" thickBot="1" x14ac:dyDescent="0.35">
      <c r="B19" s="31" t="str">
        <f>'Datos principales'!D8</f>
        <v>Tienda online fabricante</v>
      </c>
      <c r="C19" s="21" t="s">
        <v>50</v>
      </c>
      <c r="D19" s="23" t="s">
        <v>51</v>
      </c>
      <c r="E19" s="23" t="s">
        <v>69</v>
      </c>
      <c r="F19" s="22" t="s">
        <v>69</v>
      </c>
    </row>
    <row r="20" spans="2:8" ht="15" thickBot="1" x14ac:dyDescent="0.35">
      <c r="B20" s="33" t="s">
        <v>78</v>
      </c>
      <c r="C20" s="27">
        <v>1054922</v>
      </c>
      <c r="D20" s="26"/>
      <c r="E20" s="27">
        <v>854922</v>
      </c>
      <c r="F20" s="20"/>
    </row>
    <row r="21" spans="2:8" ht="15" thickBot="1" x14ac:dyDescent="0.35">
      <c r="B21" s="33" t="s">
        <v>79</v>
      </c>
      <c r="C21" s="25">
        <v>0</v>
      </c>
      <c r="D21" s="26"/>
      <c r="E21" s="25">
        <v>0</v>
      </c>
      <c r="F21" s="20"/>
    </row>
    <row r="22" spans="2:8" ht="15" thickBot="1" x14ac:dyDescent="0.35">
      <c r="B22" s="32" t="str">
        <f>'Datos principales'!E8</f>
        <v>Operadoras</v>
      </c>
      <c r="C22" s="21" t="s">
        <v>52</v>
      </c>
      <c r="D22" s="23" t="s">
        <v>53</v>
      </c>
      <c r="E22" s="23" t="s">
        <v>70</v>
      </c>
      <c r="F22" s="22" t="s">
        <v>71</v>
      </c>
    </row>
    <row r="23" spans="2:8" ht="15" thickBot="1" x14ac:dyDescent="0.35">
      <c r="B23" s="33" t="s">
        <v>78</v>
      </c>
      <c r="C23" s="27">
        <v>9857653</v>
      </c>
      <c r="D23" s="26"/>
      <c r="E23" s="27">
        <v>11556412</v>
      </c>
      <c r="F23" s="20"/>
    </row>
    <row r="24" spans="2:8" ht="15" thickBot="1" x14ac:dyDescent="0.35">
      <c r="B24" s="34" t="s">
        <v>79</v>
      </c>
      <c r="C24" s="25">
        <v>0.09</v>
      </c>
      <c r="D24" s="26"/>
      <c r="E24" s="25">
        <v>0.1</v>
      </c>
      <c r="F24" s="20"/>
    </row>
    <row r="25" spans="2:8" ht="15" thickBot="1" x14ac:dyDescent="0.35">
      <c r="B25" s="31" t="str">
        <f>'Datos principales'!F8</f>
        <v>Marketplace</v>
      </c>
      <c r="C25" s="21" t="s">
        <v>54</v>
      </c>
      <c r="D25" s="23" t="s">
        <v>55</v>
      </c>
      <c r="E25" s="23" t="s">
        <v>72</v>
      </c>
      <c r="F25" s="22" t="s">
        <v>73</v>
      </c>
    </row>
    <row r="26" spans="2:8" ht="15" thickBot="1" x14ac:dyDescent="0.35">
      <c r="B26" s="33" t="s">
        <v>78</v>
      </c>
      <c r="C26" s="27">
        <v>15742370</v>
      </c>
      <c r="D26" s="26"/>
      <c r="E26" s="27">
        <v>18427073</v>
      </c>
      <c r="F26" s="20"/>
    </row>
    <row r="27" spans="2:8" ht="15" thickBot="1" x14ac:dyDescent="0.35">
      <c r="B27" s="34" t="s">
        <v>79</v>
      </c>
      <c r="C27" s="25">
        <v>0.17</v>
      </c>
      <c r="D27" s="26"/>
      <c r="E27" s="27">
        <v>12</v>
      </c>
      <c r="F27" s="20"/>
    </row>
    <row r="28" spans="2:8" ht="15" thickBot="1" x14ac:dyDescent="0.35">
      <c r="B28" s="28" t="s">
        <v>57</v>
      </c>
      <c r="C28" s="19">
        <v>87.8</v>
      </c>
      <c r="D28" s="20"/>
      <c r="E28" s="19"/>
      <c r="F28" s="20"/>
    </row>
    <row r="29" spans="2:8" ht="15" thickBot="1" x14ac:dyDescent="0.35">
      <c r="B29" s="28" t="s">
        <v>58</v>
      </c>
      <c r="C29" s="19">
        <v>47</v>
      </c>
      <c r="D29" s="20"/>
      <c r="E29" s="19"/>
      <c r="F29" s="20"/>
    </row>
    <row r="30" spans="2:8" ht="15" thickBot="1" x14ac:dyDescent="0.35">
      <c r="B30" s="28" t="s">
        <v>59</v>
      </c>
      <c r="C30" s="19">
        <v>2.5499999999999998</v>
      </c>
      <c r="D30" s="20"/>
      <c r="E30" s="19" t="s">
        <v>75</v>
      </c>
      <c r="F30" s="20"/>
    </row>
    <row r="31" spans="2:8" ht="15" thickBot="1" x14ac:dyDescent="0.35">
      <c r="B31" s="29" t="s">
        <v>60</v>
      </c>
      <c r="C31" s="19">
        <v>6.9</v>
      </c>
      <c r="D31" s="20"/>
      <c r="E31" s="19"/>
      <c r="F31" s="20"/>
      <c r="H31" t="s">
        <v>66</v>
      </c>
    </row>
    <row r="32" spans="2:8" ht="15" thickBot="1" x14ac:dyDescent="0.35">
      <c r="B32" s="29" t="str">
        <f>'Datos principales'!B6</f>
        <v>Coste Fábrica</v>
      </c>
      <c r="C32" s="27">
        <f>'Datos principales'!C6</f>
        <v>1950000000</v>
      </c>
      <c r="D32" s="20"/>
      <c r="E32" s="27">
        <f>'Datos principales'!D6</f>
        <v>1188000000</v>
      </c>
      <c r="F32" s="20"/>
    </row>
    <row r="33" spans="2:6" ht="15" thickBot="1" x14ac:dyDescent="0.35">
      <c r="B33" s="29" t="s">
        <v>96</v>
      </c>
      <c r="C33" s="27">
        <f>C32 * 0.2</f>
        <v>390000000</v>
      </c>
      <c r="D33" s="20"/>
      <c r="E33" s="27">
        <f>E32 * 0.2</f>
        <v>237600000</v>
      </c>
      <c r="F33" s="20"/>
    </row>
    <row r="34" spans="2:6" ht="15" thickBot="1" x14ac:dyDescent="0.35">
      <c r="B34" s="29" t="s">
        <v>97</v>
      </c>
      <c r="C34" s="27">
        <v>37</v>
      </c>
      <c r="D34" s="20"/>
      <c r="E34" s="41">
        <v>34.78</v>
      </c>
      <c r="F34" s="20"/>
    </row>
    <row r="35" spans="2:6" ht="15" thickBot="1" x14ac:dyDescent="0.35">
      <c r="B35" s="29" t="s">
        <v>98</v>
      </c>
      <c r="C35" s="27">
        <v>121</v>
      </c>
      <c r="D35" s="20"/>
      <c r="E35" s="41">
        <v>113.74</v>
      </c>
      <c r="F35" s="20"/>
    </row>
  </sheetData>
  <mergeCells count="56">
    <mergeCell ref="C34:D34"/>
    <mergeCell ref="E34:F34"/>
    <mergeCell ref="C35:D35"/>
    <mergeCell ref="E35:F35"/>
    <mergeCell ref="C8:D8"/>
    <mergeCell ref="E8:F8"/>
    <mergeCell ref="C9:D9"/>
    <mergeCell ref="E9:F9"/>
    <mergeCell ref="E21:F21"/>
    <mergeCell ref="E23:F23"/>
    <mergeCell ref="E24:F24"/>
    <mergeCell ref="C32:D32"/>
    <mergeCell ref="E32:F32"/>
    <mergeCell ref="C33:D33"/>
    <mergeCell ref="E33:F33"/>
    <mergeCell ref="E26:F26"/>
    <mergeCell ref="E27:F27"/>
    <mergeCell ref="E18:F18"/>
    <mergeCell ref="E17:F17"/>
    <mergeCell ref="C17:D17"/>
    <mergeCell ref="C18:D18"/>
    <mergeCell ref="C20:D20"/>
    <mergeCell ref="E20:F20"/>
    <mergeCell ref="C21:D21"/>
    <mergeCell ref="E28:F28"/>
    <mergeCell ref="E29:F29"/>
    <mergeCell ref="E30:F30"/>
    <mergeCell ref="E31:F31"/>
    <mergeCell ref="E13:F13"/>
    <mergeCell ref="C27:D27"/>
    <mergeCell ref="E2:F2"/>
    <mergeCell ref="E3:F3"/>
    <mergeCell ref="E4:F4"/>
    <mergeCell ref="E5:F5"/>
    <mergeCell ref="E6:F6"/>
    <mergeCell ref="E7:F7"/>
    <mergeCell ref="E10:F10"/>
    <mergeCell ref="E11:F11"/>
    <mergeCell ref="E12:F12"/>
    <mergeCell ref="C13:D13"/>
    <mergeCell ref="C28:D28"/>
    <mergeCell ref="C29:D29"/>
    <mergeCell ref="C30:D30"/>
    <mergeCell ref="C31:D31"/>
    <mergeCell ref="C23:D23"/>
    <mergeCell ref="C24:D24"/>
    <mergeCell ref="C26:D26"/>
    <mergeCell ref="C2:D2"/>
    <mergeCell ref="C3:D3"/>
    <mergeCell ref="C4:D4"/>
    <mergeCell ref="C5:D5"/>
    <mergeCell ref="C6:D6"/>
    <mergeCell ref="C7:D7"/>
    <mergeCell ref="C10:D10"/>
    <mergeCell ref="C11:D11"/>
    <mergeCell ref="C12: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497D-BCB4-4584-B508-E946229CE7FB}">
  <dimension ref="B1:M19"/>
  <sheetViews>
    <sheetView topLeftCell="A7" workbookViewId="0">
      <selection activeCell="E19" sqref="E19"/>
    </sheetView>
  </sheetViews>
  <sheetFormatPr baseColWidth="10" defaultRowHeight="14.4" x14ac:dyDescent="0.3"/>
  <cols>
    <col min="1" max="1" width="2.77734375" customWidth="1"/>
    <col min="2" max="3" width="27.77734375" customWidth="1"/>
  </cols>
  <sheetData>
    <row r="1" spans="2:13" ht="15" thickBot="1" x14ac:dyDescent="0.35">
      <c r="E1" s="47" t="s">
        <v>103</v>
      </c>
      <c r="F1" s="47"/>
      <c r="G1" s="16"/>
      <c r="H1" s="16"/>
    </row>
    <row r="2" spans="2:13" ht="15" thickBot="1" x14ac:dyDescent="0.35">
      <c r="C2" s="37" t="s">
        <v>85</v>
      </c>
      <c r="F2" s="47"/>
      <c r="G2" s="45" t="s">
        <v>131</v>
      </c>
      <c r="H2" s="45"/>
      <c r="J2" s="57" t="s">
        <v>16</v>
      </c>
      <c r="K2" s="58"/>
    </row>
    <row r="3" spans="2:13" ht="15" customHeight="1" thickBot="1" x14ac:dyDescent="0.35">
      <c r="B3" s="28" t="s">
        <v>80</v>
      </c>
      <c r="C3" s="35">
        <v>100</v>
      </c>
      <c r="E3" s="56"/>
      <c r="G3" t="s">
        <v>8</v>
      </c>
      <c r="H3" t="s">
        <v>9</v>
      </c>
      <c r="J3" s="59" t="s">
        <v>113</v>
      </c>
      <c r="K3" s="60"/>
    </row>
    <row r="4" spans="2:13" ht="15" customHeight="1" thickBot="1" x14ac:dyDescent="0.35">
      <c r="B4" s="29" t="s">
        <v>81</v>
      </c>
      <c r="C4" s="36">
        <v>200</v>
      </c>
      <c r="E4" s="46" t="s">
        <v>130</v>
      </c>
      <c r="F4" t="s">
        <v>8</v>
      </c>
      <c r="G4" s="44">
        <v>5</v>
      </c>
      <c r="H4" s="44">
        <v>23</v>
      </c>
      <c r="J4" s="59" t="s">
        <v>114</v>
      </c>
      <c r="K4" s="60"/>
      <c r="M4" t="s">
        <v>115</v>
      </c>
    </row>
    <row r="5" spans="2:13" ht="15" thickBot="1" x14ac:dyDescent="0.35">
      <c r="B5" s="29" t="s">
        <v>82</v>
      </c>
      <c r="C5" s="36">
        <v>400</v>
      </c>
      <c r="E5" s="46"/>
      <c r="F5" t="s">
        <v>9</v>
      </c>
      <c r="G5" s="44">
        <v>32</v>
      </c>
      <c r="H5" s="44">
        <v>4</v>
      </c>
      <c r="J5" s="61" t="s">
        <v>83</v>
      </c>
      <c r="K5" s="62"/>
      <c r="M5" t="s">
        <v>116</v>
      </c>
    </row>
    <row r="6" spans="2:13" ht="15" thickBot="1" x14ac:dyDescent="0.35">
      <c r="B6" s="29" t="s">
        <v>83</v>
      </c>
      <c r="C6" s="36">
        <v>100</v>
      </c>
      <c r="J6" s="61" t="s">
        <v>84</v>
      </c>
      <c r="K6" s="62"/>
    </row>
    <row r="7" spans="2:13" ht="15" thickBot="1" x14ac:dyDescent="0.35">
      <c r="B7" s="29" t="s">
        <v>84</v>
      </c>
      <c r="C7" s="36">
        <v>100</v>
      </c>
    </row>
    <row r="9" spans="2:13" ht="15" thickBot="1" x14ac:dyDescent="0.35">
      <c r="J9" s="45" t="s">
        <v>117</v>
      </c>
      <c r="K9" s="45"/>
      <c r="L9" s="48"/>
    </row>
    <row r="10" spans="2:13" ht="15" thickBot="1" x14ac:dyDescent="0.35">
      <c r="C10" s="37" t="s">
        <v>86</v>
      </c>
      <c r="E10" s="50" t="s">
        <v>104</v>
      </c>
      <c r="F10" s="50"/>
      <c r="G10" s="50"/>
      <c r="H10" s="51" t="s">
        <v>112</v>
      </c>
      <c r="J10" t="s">
        <v>118</v>
      </c>
      <c r="K10" s="63" t="s">
        <v>121</v>
      </c>
    </row>
    <row r="11" spans="2:13" ht="15" thickBot="1" x14ac:dyDescent="0.35">
      <c r="B11" s="28" t="s">
        <v>87</v>
      </c>
      <c r="C11" s="35" t="s">
        <v>88</v>
      </c>
      <c r="E11" s="52" t="s">
        <v>105</v>
      </c>
      <c r="F11" s="52"/>
      <c r="G11" s="52"/>
      <c r="H11" s="53">
        <v>8.2899999999999991</v>
      </c>
      <c r="J11" t="s">
        <v>119</v>
      </c>
      <c r="K11" s="49" t="s">
        <v>122</v>
      </c>
    </row>
    <row r="12" spans="2:13" ht="15" thickBot="1" x14ac:dyDescent="0.35">
      <c r="B12" s="29" t="s">
        <v>89</v>
      </c>
      <c r="C12" s="36">
        <v>40</v>
      </c>
      <c r="E12" s="52" t="s">
        <v>106</v>
      </c>
      <c r="F12" s="52"/>
      <c r="G12" s="52"/>
      <c r="H12" s="53">
        <v>4.37</v>
      </c>
      <c r="J12" t="s">
        <v>120</v>
      </c>
      <c r="K12" s="49" t="s">
        <v>123</v>
      </c>
    </row>
    <row r="13" spans="2:13" ht="15" thickBot="1" x14ac:dyDescent="0.35">
      <c r="B13" s="29" t="s">
        <v>90</v>
      </c>
      <c r="C13" s="36">
        <v>4</v>
      </c>
      <c r="E13" s="54" t="s">
        <v>107</v>
      </c>
      <c r="F13" s="54"/>
      <c r="G13" s="54"/>
      <c r="H13" s="55">
        <v>7</v>
      </c>
    </row>
    <row r="14" spans="2:13" ht="15" thickBot="1" x14ac:dyDescent="0.35">
      <c r="B14" s="29" t="s">
        <v>91</v>
      </c>
      <c r="C14" s="36">
        <v>1</v>
      </c>
      <c r="E14" s="54" t="s">
        <v>108</v>
      </c>
      <c r="F14" s="54"/>
      <c r="G14" s="54"/>
      <c r="H14" s="55">
        <v>13</v>
      </c>
      <c r="J14" s="45" t="s">
        <v>127</v>
      </c>
      <c r="K14" s="45"/>
      <c r="M14" t="s">
        <v>128</v>
      </c>
    </row>
    <row r="15" spans="2:13" ht="15" thickBot="1" x14ac:dyDescent="0.35">
      <c r="B15" s="29" t="s">
        <v>92</v>
      </c>
      <c r="C15" s="36">
        <v>2</v>
      </c>
      <c r="E15" s="54" t="s">
        <v>109</v>
      </c>
      <c r="F15" s="54"/>
      <c r="G15" s="54"/>
      <c r="H15" s="55">
        <v>24</v>
      </c>
      <c r="J15" t="s">
        <v>124</v>
      </c>
      <c r="M15" t="s">
        <v>129</v>
      </c>
    </row>
    <row r="16" spans="2:13" ht="15" thickBot="1" x14ac:dyDescent="0.35">
      <c r="B16" s="29" t="s">
        <v>93</v>
      </c>
      <c r="C16" s="38">
        <v>0.5</v>
      </c>
      <c r="E16" s="54" t="s">
        <v>110</v>
      </c>
      <c r="F16" s="54"/>
      <c r="G16" s="54"/>
      <c r="H16" s="55">
        <v>30</v>
      </c>
      <c r="J16" t="s">
        <v>125</v>
      </c>
    </row>
    <row r="17" spans="2:10" ht="15" thickBot="1" x14ac:dyDescent="0.35">
      <c r="B17" s="29" t="s">
        <v>94</v>
      </c>
      <c r="C17" s="38">
        <v>0.5</v>
      </c>
      <c r="E17" s="54" t="s">
        <v>111</v>
      </c>
      <c r="F17" s="54"/>
      <c r="G17" s="54"/>
      <c r="H17" s="55">
        <v>55</v>
      </c>
      <c r="J17" t="s">
        <v>126</v>
      </c>
    </row>
    <row r="18" spans="2:10" ht="15" thickBot="1" x14ac:dyDescent="0.35">
      <c r="B18" s="29"/>
      <c r="C18" s="38"/>
    </row>
    <row r="19" spans="2:10" ht="15" thickBot="1" x14ac:dyDescent="0.35">
      <c r="B19" s="29"/>
      <c r="C19" s="38"/>
    </row>
  </sheetData>
  <mergeCells count="15">
    <mergeCell ref="J2:K2"/>
    <mergeCell ref="J9:K9"/>
    <mergeCell ref="J14:K14"/>
    <mergeCell ref="J5:K5"/>
    <mergeCell ref="J6:K6"/>
    <mergeCell ref="E17:G17"/>
    <mergeCell ref="E16:G16"/>
    <mergeCell ref="E15:G15"/>
    <mergeCell ref="E14:G14"/>
    <mergeCell ref="E13:G13"/>
    <mergeCell ref="E12:G12"/>
    <mergeCell ref="E11:G11"/>
    <mergeCell ref="G2:H2"/>
    <mergeCell ref="E4:E5"/>
    <mergeCell ref="E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5B1F-690F-4E80-AECC-86D0D401CBE4}">
  <dimension ref="A1"/>
  <sheetViews>
    <sheetView zoomScale="53" workbookViewId="0">
      <selection activeCell="O4" sqref="O4"/>
    </sheetView>
  </sheetViews>
  <sheetFormatPr baseColWidth="10" defaultRowHeight="14.4" x14ac:dyDescent="0.3"/>
  <cols>
    <col min="1" max="1" width="2.77734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principales</vt:lpstr>
      <vt:lpstr>Terminales</vt:lpstr>
      <vt:lpstr>Paises</vt:lpstr>
      <vt:lpstr>Operaciones</vt:lpstr>
      <vt:lpstr>Trade 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ROQUES SANCHEZ</dc:creator>
  <cp:lastModifiedBy>ANDRES ROQUES SANCHEZ</cp:lastModifiedBy>
  <dcterms:created xsi:type="dcterms:W3CDTF">2025-10-14T13:40:01Z</dcterms:created>
  <dcterms:modified xsi:type="dcterms:W3CDTF">2025-10-14T16:14:59Z</dcterms:modified>
</cp:coreProperties>
</file>