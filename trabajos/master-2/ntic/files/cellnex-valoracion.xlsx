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\Desktop\Uni\2M Segundo de master\Economía\NTIC\Caso Cellnex\"/>
    </mc:Choice>
  </mc:AlternateContent>
  <xr:revisionPtr revIDLastSave="0" documentId="13_ncr:1_{4FBB707A-6574-4EB4-9A35-90769793C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2" i="1"/>
  <c r="L24" i="1"/>
  <c r="R23" i="1"/>
  <c r="N14" i="1"/>
  <c r="N18" i="1" s="1"/>
  <c r="O14" i="1"/>
  <c r="O18" i="1" s="1"/>
  <c r="P14" i="1"/>
  <c r="P18" i="1" s="1"/>
  <c r="M14" i="1"/>
  <c r="M18" i="1" s="1"/>
  <c r="N20" i="1"/>
  <c r="Q21" i="1"/>
  <c r="M20" i="1"/>
  <c r="O20" i="1"/>
  <c r="P20" i="1"/>
  <c r="D20" i="1"/>
  <c r="E20" i="1"/>
  <c r="F20" i="1"/>
  <c r="G20" i="1"/>
  <c r="H20" i="1"/>
  <c r="C20" i="1"/>
  <c r="D18" i="1"/>
  <c r="E18" i="1"/>
  <c r="F18" i="1"/>
  <c r="G18" i="1"/>
  <c r="H18" i="1"/>
  <c r="C18" i="1"/>
  <c r="D11" i="1"/>
  <c r="E11" i="1"/>
  <c r="F11" i="1"/>
  <c r="G11" i="1"/>
  <c r="H11" i="1"/>
  <c r="C11" i="1"/>
  <c r="K10" i="1"/>
  <c r="D8" i="1"/>
  <c r="D9" i="1" s="1"/>
  <c r="E8" i="1"/>
  <c r="E9" i="1" s="1"/>
  <c r="F8" i="1"/>
  <c r="F9" i="1" s="1"/>
  <c r="G8" i="1"/>
  <c r="G19" i="1" s="1"/>
  <c r="H8" i="1"/>
  <c r="H9" i="1" s="1"/>
  <c r="C8" i="1"/>
  <c r="C9" i="1" s="1"/>
  <c r="D7" i="1"/>
  <c r="E7" i="1"/>
  <c r="F7" i="1"/>
  <c r="G7" i="1"/>
  <c r="H7" i="1"/>
  <c r="C7" i="1"/>
  <c r="K6" i="1"/>
  <c r="K4" i="1"/>
  <c r="K5" i="1"/>
  <c r="K3" i="1"/>
  <c r="M19" i="1" l="1"/>
  <c r="G17" i="1"/>
  <c r="P19" i="1"/>
  <c r="P21" i="1" s="1"/>
  <c r="O19" i="1"/>
  <c r="O21" i="1" s="1"/>
  <c r="N19" i="1"/>
  <c r="N21" i="1" s="1"/>
  <c r="G21" i="1"/>
  <c r="C19" i="1"/>
  <c r="C21" i="1" s="1"/>
  <c r="D19" i="1"/>
  <c r="D17" i="1" s="1"/>
  <c r="H19" i="1"/>
  <c r="H21" i="1" s="1"/>
  <c r="H23" i="1" s="1"/>
  <c r="C24" i="1" s="1"/>
  <c r="G9" i="1"/>
  <c r="F19" i="1"/>
  <c r="F21" i="1" s="1"/>
  <c r="E19" i="1"/>
  <c r="E21" i="1" s="1"/>
  <c r="K8" i="1"/>
  <c r="E17" i="1" l="1"/>
  <c r="H17" i="1"/>
  <c r="D21" i="1"/>
  <c r="C17" i="1"/>
  <c r="C22" i="1"/>
  <c r="C27" i="1" s="1"/>
  <c r="C30" i="1" s="1"/>
  <c r="C32" i="1" s="1"/>
  <c r="F17" i="1"/>
  <c r="L27" i="1" l="1"/>
  <c r="L25" i="1" s="1"/>
  <c r="C25" i="1"/>
  <c r="L30" i="1" l="1"/>
  <c r="L32" i="1" s="1"/>
</calcChain>
</file>

<file path=xl/sharedStrings.xml><?xml version="1.0" encoding="utf-8"?>
<sst xmlns="http://schemas.openxmlformats.org/spreadsheetml/2006/main" count="74" uniqueCount="52">
  <si>
    <t>Concepto</t>
  </si>
  <si>
    <t>2024r</t>
  </si>
  <si>
    <t>2025e</t>
  </si>
  <si>
    <t>2026e</t>
  </si>
  <si>
    <t>2027e</t>
  </si>
  <si>
    <t>2028e</t>
  </si>
  <si>
    <t>2029e</t>
  </si>
  <si>
    <t>Ingresos netos</t>
  </si>
  <si>
    <t>EBITDA</t>
  </si>
  <si>
    <t>EBIT</t>
  </si>
  <si>
    <t>BNA</t>
  </si>
  <si>
    <t>TAMI '24-'29</t>
  </si>
  <si>
    <t>n.a.</t>
  </si>
  <si>
    <t>Activo Fijo neto</t>
  </si>
  <si>
    <t>Inmovilizado financiero</t>
  </si>
  <si>
    <t>Necesidades operativas de fondos</t>
  </si>
  <si>
    <t>Otros Activos/(pasivos) neto</t>
  </si>
  <si>
    <t>Capital Empleado</t>
  </si>
  <si>
    <t>Recursos propios</t>
  </si>
  <si>
    <t>Minoritarios</t>
  </si>
  <si>
    <t>Deuda financiera neta</t>
  </si>
  <si>
    <t>CAGR</t>
  </si>
  <si>
    <t>no growth</t>
  </si>
  <si>
    <t>Margen EBITDA</t>
  </si>
  <si>
    <t>cash cow</t>
  </si>
  <si>
    <t>D&amp;A</t>
  </si>
  <si>
    <t>D&amp;A/Ingresos</t>
  </si>
  <si>
    <t>empresa de infraestructuras</t>
  </si>
  <si>
    <t>CAPEX</t>
  </si>
  <si>
    <t>capital intensity</t>
  </si>
  <si>
    <t>FCFF</t>
  </si>
  <si>
    <t>EBITDA(1-t)</t>
  </si>
  <si>
    <t>t</t>
  </si>
  <si>
    <t>D&amp;A*t</t>
  </si>
  <si>
    <t>-CAPEX</t>
  </si>
  <si>
    <t>WACC</t>
  </si>
  <si>
    <t>EV</t>
  </si>
  <si>
    <t>-Deuda neta</t>
  </si>
  <si>
    <t>-Otros ajustes</t>
  </si>
  <si>
    <t>Eq Value</t>
  </si>
  <si>
    <t>nº acc en ccion</t>
  </si>
  <si>
    <t>mn</t>
  </si>
  <si>
    <t>valor accion</t>
  </si>
  <si>
    <t>Valor residual</t>
  </si>
  <si>
    <t>g</t>
  </si>
  <si>
    <t>PV(VR)</t>
  </si>
  <si>
    <t>PV(DCF 1-5)</t>
  </si>
  <si>
    <t>% VR/EV</t>
  </si>
  <si>
    <t>Flujo caja OP</t>
  </si>
  <si>
    <t>NOPAT = EBIT(1-t)</t>
  </si>
  <si>
    <t>2030e</t>
  </si>
  <si>
    <t>NOPAT (bankinter)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</si>
</sst>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_-* #,##0.00\ [$€-C0A]_-;\-* #,##0.00\ [$€-C0A]_-;_-* &quot;-&quot;??\ [$€-C0A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/>
    <xf numFmtId="0" fontId="1" fillId="2" borderId="0" xfId="0" applyFont="1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9" fontId="0" fillId="0" borderId="0" xfId="1" applyFont="1"/>
    <xf numFmtId="10" fontId="0" fillId="0" borderId="0" xfId="1" applyNumberFormat="1" applyFont="1"/>
    <xf numFmtId="164" fontId="0" fillId="0" borderId="0" xfId="1" applyNumberFormat="1" applyFon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quotePrefix="1"/>
    <xf numFmtId="0" fontId="0" fillId="0" borderId="0" xfId="0" quotePrefix="1" applyAlignment="1">
      <alignment vertical="center" wrapText="1"/>
    </xf>
    <xf numFmtId="3" fontId="1" fillId="0" borderId="0" xfId="0" applyNumberFormat="1" applyFont="1"/>
    <xf numFmtId="165" fontId="0" fillId="0" borderId="0" xfId="0" applyNumberFormat="1"/>
    <xf numFmtId="10" fontId="1" fillId="0" borderId="0" xfId="1" applyNumberFormat="1" applyFont="1"/>
    <xf numFmtId="0" fontId="0" fillId="3" borderId="0" xfId="0" applyFill="1"/>
    <xf numFmtId="3" fontId="1" fillId="3" borderId="0" xfId="0" applyNumberFormat="1" applyFont="1" applyFill="1"/>
    <xf numFmtId="3" fontId="0" fillId="3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2"/>
  <sheetViews>
    <sheetView tabSelected="1" topLeftCell="A2" zoomScale="109" workbookViewId="0">
      <selection activeCell="M21" sqref="M21"/>
    </sheetView>
  </sheetViews>
  <sheetFormatPr baseColWidth="10" defaultColWidth="8.88671875" defaultRowHeight="14.4" x14ac:dyDescent="0.3"/>
  <cols>
    <col min="2" max="2" width="14.21875" customWidth="1"/>
    <col min="3" max="3" width="8.88671875" customWidth="1"/>
    <col min="9" max="9" width="12.44140625" customWidth="1"/>
    <col min="10" max="10" width="15.44140625" customWidth="1"/>
    <col min="11" max="11" width="16.6640625" customWidth="1"/>
  </cols>
  <sheetData>
    <row r="2" spans="2:18" s="5" customFormat="1" ht="28.8" x14ac:dyDescent="0.3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5" t="s">
        <v>50</v>
      </c>
      <c r="J2" s="8" t="s">
        <v>11</v>
      </c>
      <c r="K2" s="7" t="s">
        <v>21</v>
      </c>
    </row>
    <row r="3" spans="2:18" x14ac:dyDescent="0.3">
      <c r="B3" s="2" t="s">
        <v>7</v>
      </c>
      <c r="C3" s="3">
        <v>3940</v>
      </c>
      <c r="D3" s="3">
        <v>4029</v>
      </c>
      <c r="E3" s="3">
        <v>4184</v>
      </c>
      <c r="F3" s="3">
        <v>4327</v>
      </c>
      <c r="G3" s="3">
        <v>4473</v>
      </c>
      <c r="H3" s="3">
        <v>4622</v>
      </c>
      <c r="J3" s="4">
        <v>3.2000000000000001E-2</v>
      </c>
      <c r="K3" s="11">
        <f>(H3/C3)^(1/5)-1</f>
        <v>3.2444568478740665E-2</v>
      </c>
      <c r="L3" t="s">
        <v>22</v>
      </c>
    </row>
    <row r="4" spans="2:18" x14ac:dyDescent="0.3">
      <c r="B4" s="2" t="s">
        <v>8</v>
      </c>
      <c r="C4" s="3">
        <v>3249</v>
      </c>
      <c r="D4" s="3">
        <v>3362</v>
      </c>
      <c r="E4" s="3">
        <v>3512</v>
      </c>
      <c r="F4" s="3">
        <v>3652</v>
      </c>
      <c r="G4" s="3">
        <v>3775</v>
      </c>
      <c r="H4" s="3">
        <v>3901</v>
      </c>
      <c r="J4" s="4">
        <v>3.6999999999999998E-2</v>
      </c>
      <c r="K4" s="11">
        <f>(H4/C4)^(1/5)-1</f>
        <v>3.7254309302113597E-2</v>
      </c>
    </row>
    <row r="5" spans="2:18" x14ac:dyDescent="0.3">
      <c r="B5" s="2" t="s">
        <v>9</v>
      </c>
      <c r="C5" s="2">
        <v>641</v>
      </c>
      <c r="D5" s="3">
        <v>1023</v>
      </c>
      <c r="E5" s="3">
        <v>1173</v>
      </c>
      <c r="F5" s="3">
        <v>1313</v>
      </c>
      <c r="G5" s="3">
        <v>1436</v>
      </c>
      <c r="H5" s="3">
        <v>1562</v>
      </c>
      <c r="J5" s="4">
        <v>0.19500000000000001</v>
      </c>
      <c r="K5" s="11">
        <f>(H5/C5)^(1/5)-1</f>
        <v>0.19499090526282892</v>
      </c>
    </row>
    <row r="6" spans="2:18" x14ac:dyDescent="0.3">
      <c r="B6" s="2" t="s">
        <v>10</v>
      </c>
      <c r="C6" s="2">
        <v>-28</v>
      </c>
      <c r="D6" s="2">
        <v>67</v>
      </c>
      <c r="E6" s="2">
        <v>133</v>
      </c>
      <c r="F6" s="2">
        <v>181</v>
      </c>
      <c r="G6" s="2">
        <v>268</v>
      </c>
      <c r="H6" s="2">
        <v>358</v>
      </c>
      <c r="J6" s="2" t="s">
        <v>12</v>
      </c>
      <c r="K6" s="11">
        <f>(H6/D6)^(1/4)-1</f>
        <v>0.52037967789086959</v>
      </c>
    </row>
    <row r="7" spans="2:18" x14ac:dyDescent="0.3">
      <c r="B7" s="2" t="s">
        <v>23</v>
      </c>
      <c r="C7" s="10">
        <f>C4/C3</f>
        <v>0.82461928934010154</v>
      </c>
      <c r="D7" s="10">
        <f t="shared" ref="D7:H7" si="0">D4/D3</f>
        <v>0.83445023579051869</v>
      </c>
      <c r="E7" s="10">
        <f t="shared" si="0"/>
        <v>0.83938814531548755</v>
      </c>
      <c r="F7" s="10">
        <f t="shared" si="0"/>
        <v>0.84400277328403051</v>
      </c>
      <c r="G7" s="10">
        <f t="shared" si="0"/>
        <v>0.84395260451598475</v>
      </c>
      <c r="H7" s="10">
        <f t="shared" si="0"/>
        <v>0.84400692340977934</v>
      </c>
      <c r="K7" s="11"/>
      <c r="L7" t="s">
        <v>24</v>
      </c>
    </row>
    <row r="8" spans="2:18" x14ac:dyDescent="0.3">
      <c r="B8" s="2" t="s">
        <v>25</v>
      </c>
      <c r="C8" s="12">
        <f>C4-C5</f>
        <v>2608</v>
      </c>
      <c r="D8" s="12">
        <f t="shared" ref="D8:H8" si="1">D4-D5</f>
        <v>2339</v>
      </c>
      <c r="E8" s="12">
        <f t="shared" si="1"/>
        <v>2339</v>
      </c>
      <c r="F8" s="12">
        <f t="shared" si="1"/>
        <v>2339</v>
      </c>
      <c r="G8" s="12">
        <f t="shared" si="1"/>
        <v>2339</v>
      </c>
      <c r="H8" s="12">
        <f t="shared" si="1"/>
        <v>2339</v>
      </c>
      <c r="K8" s="11">
        <f>(H8/C8)^(1/5)-1</f>
        <v>-2.1536731365381367E-2</v>
      </c>
    </row>
    <row r="9" spans="2:18" x14ac:dyDescent="0.3">
      <c r="B9" s="2" t="s">
        <v>26</v>
      </c>
      <c r="C9" s="10">
        <f>C8/C3</f>
        <v>0.66192893401015229</v>
      </c>
      <c r="D9" s="10">
        <f t="shared" ref="D9:H9" si="2">D8/D3</f>
        <v>0.58054107719036985</v>
      </c>
      <c r="E9" s="10">
        <f t="shared" si="2"/>
        <v>0.55903441682600385</v>
      </c>
      <c r="F9" s="10">
        <f t="shared" si="2"/>
        <v>0.54055927894615208</v>
      </c>
      <c r="G9" s="10">
        <f t="shared" si="2"/>
        <v>0.52291526939414268</v>
      </c>
      <c r="H9" s="10">
        <f t="shared" si="2"/>
        <v>0.50605798355690179</v>
      </c>
      <c r="K9" s="11"/>
      <c r="L9" t="s">
        <v>27</v>
      </c>
    </row>
    <row r="10" spans="2:18" x14ac:dyDescent="0.3">
      <c r="B10" s="2" t="s">
        <v>28</v>
      </c>
      <c r="C10">
        <v>-977</v>
      </c>
      <c r="D10">
        <v>-1002</v>
      </c>
      <c r="E10">
        <v>-1040</v>
      </c>
      <c r="F10">
        <v>-1080</v>
      </c>
      <c r="G10">
        <v>-1120</v>
      </c>
      <c r="H10">
        <v>-1162</v>
      </c>
      <c r="J10" s="13">
        <v>3.5000000000000003E-2</v>
      </c>
      <c r="K10" s="11">
        <f>(H10/C10)^(1/5)-1</f>
        <v>3.5290700235774075E-2</v>
      </c>
    </row>
    <row r="11" spans="2:18" x14ac:dyDescent="0.3">
      <c r="B11" s="2" t="s">
        <v>29</v>
      </c>
      <c r="C11" s="9">
        <f>-C10/C3</f>
        <v>0.24796954314720812</v>
      </c>
      <c r="D11" s="9">
        <f t="shared" ref="D11:H11" si="3">-D10/D3</f>
        <v>0.24869694713328369</v>
      </c>
      <c r="E11" s="9">
        <f t="shared" si="3"/>
        <v>0.24856596558317401</v>
      </c>
      <c r="F11" s="9">
        <f t="shared" si="3"/>
        <v>0.2495955627455512</v>
      </c>
      <c r="G11" s="9">
        <f t="shared" si="3"/>
        <v>0.25039123630672927</v>
      </c>
      <c r="H11" s="9">
        <f t="shared" si="3"/>
        <v>0.25140631761142362</v>
      </c>
    </row>
    <row r="12" spans="2:18" x14ac:dyDescent="0.3">
      <c r="B12" s="2" t="s">
        <v>32</v>
      </c>
      <c r="C12" s="14">
        <v>0.25</v>
      </c>
      <c r="D12" s="14">
        <v>0.25</v>
      </c>
      <c r="E12" s="14">
        <v>0.25</v>
      </c>
      <c r="F12" s="14">
        <v>0.25</v>
      </c>
      <c r="G12" s="14">
        <v>0.25</v>
      </c>
      <c r="H12" s="14">
        <v>0.25</v>
      </c>
    </row>
    <row r="13" spans="2:18" x14ac:dyDescent="0.3">
      <c r="B13" s="2" t="s">
        <v>35</v>
      </c>
      <c r="C13" s="13">
        <v>6.6799999999999998E-2</v>
      </c>
    </row>
    <row r="14" spans="2:18" x14ac:dyDescent="0.3">
      <c r="B14" s="2" t="s">
        <v>44</v>
      </c>
      <c r="C14" s="14">
        <v>0.02</v>
      </c>
      <c r="M14" s="9">
        <f>1-(M17/E5)</f>
        <v>3.3248081841432242E-2</v>
      </c>
      <c r="N14" s="9">
        <f>1-(N17/F5)</f>
        <v>4.1127189642041095E-2</v>
      </c>
      <c r="O14" s="9">
        <f>1-(O17/G5)</f>
        <v>5.8495821727019504E-2</v>
      </c>
      <c r="P14" s="9">
        <f>1-(P17/H5)</f>
        <v>7.2343149807938545E-2</v>
      </c>
    </row>
    <row r="15" spans="2:18" x14ac:dyDescent="0.3">
      <c r="L15">
        <v>2025</v>
      </c>
      <c r="M15">
        <v>2026</v>
      </c>
      <c r="N15">
        <v>2027</v>
      </c>
      <c r="O15">
        <v>2028</v>
      </c>
      <c r="P15">
        <v>2029</v>
      </c>
      <c r="Q15">
        <v>2030</v>
      </c>
    </row>
    <row r="16" spans="2:18" x14ac:dyDescent="0.3">
      <c r="B16" s="2"/>
      <c r="C16" s="12">
        <v>0</v>
      </c>
      <c r="D16">
        <v>1</v>
      </c>
      <c r="E16" s="12">
        <v>2</v>
      </c>
      <c r="F16">
        <v>3</v>
      </c>
      <c r="G16" s="12">
        <v>4</v>
      </c>
      <c r="H16">
        <v>5</v>
      </c>
      <c r="L16">
        <v>-1</v>
      </c>
      <c r="M16">
        <v>0</v>
      </c>
      <c r="N16">
        <v>1</v>
      </c>
      <c r="O16">
        <v>2</v>
      </c>
      <c r="P16">
        <v>3</v>
      </c>
      <c r="Q16">
        <v>4</v>
      </c>
      <c r="R16">
        <v>5</v>
      </c>
    </row>
    <row r="17" spans="2:18" x14ac:dyDescent="0.3">
      <c r="B17" s="2" t="s">
        <v>48</v>
      </c>
      <c r="C17" s="12">
        <f>SUM(C18:C19)</f>
        <v>3088.75</v>
      </c>
      <c r="D17" s="12">
        <f t="shared" ref="D17:H17" si="4">SUM(D18:D19)</f>
        <v>3106.25</v>
      </c>
      <c r="E17" s="12">
        <f t="shared" si="4"/>
        <v>3218.75</v>
      </c>
      <c r="F17" s="12">
        <f t="shared" si="4"/>
        <v>3323.75</v>
      </c>
      <c r="G17" s="12">
        <f t="shared" si="4"/>
        <v>3416</v>
      </c>
      <c r="H17" s="12">
        <f t="shared" si="4"/>
        <v>3510.5</v>
      </c>
      <c r="K17" s="2" t="s">
        <v>51</v>
      </c>
      <c r="L17" s="12"/>
      <c r="M17" s="22">
        <v>1134</v>
      </c>
      <c r="N17" s="22">
        <v>1259</v>
      </c>
      <c r="O17" s="22">
        <v>1352</v>
      </c>
      <c r="P17" s="22">
        <v>1449</v>
      </c>
      <c r="Q17" s="22">
        <v>1548</v>
      </c>
    </row>
    <row r="18" spans="2:18" x14ac:dyDescent="0.3">
      <c r="B18" s="2" t="s">
        <v>31</v>
      </c>
      <c r="C18" s="12">
        <f>C4*(1-$C$12)</f>
        <v>2436.75</v>
      </c>
      <c r="D18" s="12">
        <f t="shared" ref="D18:H18" si="5">D4*(1-$C$12)</f>
        <v>2521.5</v>
      </c>
      <c r="E18" s="12">
        <f t="shared" si="5"/>
        <v>2634</v>
      </c>
      <c r="F18" s="12">
        <f t="shared" si="5"/>
        <v>2739</v>
      </c>
      <c r="G18" s="12">
        <f t="shared" si="5"/>
        <v>2831.25</v>
      </c>
      <c r="H18" s="12">
        <f t="shared" si="5"/>
        <v>2925.75</v>
      </c>
      <c r="K18" s="2" t="s">
        <v>49</v>
      </c>
      <c r="L18" s="12"/>
      <c r="M18" s="12">
        <f>E5*(1-M14)</f>
        <v>1134</v>
      </c>
      <c r="N18" s="12">
        <f t="shared" ref="N18:P18" si="6">F5*(1-N14)</f>
        <v>1259</v>
      </c>
      <c r="O18" s="12">
        <f t="shared" si="6"/>
        <v>1352</v>
      </c>
      <c r="P18" s="12">
        <f t="shared" si="6"/>
        <v>1449</v>
      </c>
      <c r="Q18" s="20">
        <v>1548</v>
      </c>
    </row>
    <row r="19" spans="2:18" x14ac:dyDescent="0.3">
      <c r="B19" s="2" t="s">
        <v>33</v>
      </c>
      <c r="C19">
        <f>C8*C12</f>
        <v>652</v>
      </c>
      <c r="D19">
        <f t="shared" ref="D19:H19" si="7">D8*D12</f>
        <v>584.75</v>
      </c>
      <c r="E19">
        <f t="shared" si="7"/>
        <v>584.75</v>
      </c>
      <c r="F19">
        <f t="shared" si="7"/>
        <v>584.75</v>
      </c>
      <c r="G19">
        <f t="shared" si="7"/>
        <v>584.75</v>
      </c>
      <c r="H19">
        <f t="shared" si="7"/>
        <v>584.75</v>
      </c>
      <c r="K19" s="2" t="s">
        <v>25</v>
      </c>
      <c r="L19" s="12"/>
      <c r="M19" s="12">
        <f>E8</f>
        <v>2339</v>
      </c>
      <c r="N19" s="12">
        <f>F8</f>
        <v>2339</v>
      </c>
      <c r="O19" s="12">
        <f>G8</f>
        <v>2339</v>
      </c>
      <c r="P19" s="12">
        <f>H8</f>
        <v>2339</v>
      </c>
      <c r="Q19" s="20">
        <v>2339</v>
      </c>
    </row>
    <row r="20" spans="2:18" x14ac:dyDescent="0.3">
      <c r="B20" s="16" t="s">
        <v>34</v>
      </c>
      <c r="C20">
        <f>C10</f>
        <v>-977</v>
      </c>
      <c r="D20">
        <f t="shared" ref="D20:H20" si="8">D10</f>
        <v>-1002</v>
      </c>
      <c r="E20">
        <f t="shared" si="8"/>
        <v>-1040</v>
      </c>
      <c r="F20">
        <f t="shared" si="8"/>
        <v>-1080</v>
      </c>
      <c r="G20">
        <f t="shared" si="8"/>
        <v>-1120</v>
      </c>
      <c r="H20">
        <f t="shared" si="8"/>
        <v>-1162</v>
      </c>
      <c r="K20" s="16" t="s">
        <v>34</v>
      </c>
      <c r="M20">
        <f>E10</f>
        <v>-1040</v>
      </c>
      <c r="N20">
        <f>F10</f>
        <v>-1080</v>
      </c>
      <c r="O20">
        <f>G10</f>
        <v>-1120</v>
      </c>
      <c r="P20">
        <f>H10</f>
        <v>-1162</v>
      </c>
      <c r="Q20" s="20">
        <v>-1204</v>
      </c>
    </row>
    <row r="21" spans="2:18" x14ac:dyDescent="0.3">
      <c r="B21" s="2" t="s">
        <v>30</v>
      </c>
      <c r="C21" s="17">
        <f>SUM(C18:C20)</f>
        <v>2111.75</v>
      </c>
      <c r="D21" s="17">
        <f t="shared" ref="D21:H21" si="9">SUM(D18:D20)</f>
        <v>2104.25</v>
      </c>
      <c r="E21" s="17">
        <f t="shared" si="9"/>
        <v>2178.75</v>
      </c>
      <c r="F21" s="17">
        <f t="shared" si="9"/>
        <v>2243.75</v>
      </c>
      <c r="G21" s="17">
        <f t="shared" si="9"/>
        <v>2296</v>
      </c>
      <c r="H21" s="17">
        <f t="shared" si="9"/>
        <v>2348.5</v>
      </c>
      <c r="K21" s="2" t="s">
        <v>30</v>
      </c>
      <c r="L21" s="17"/>
      <c r="M21" s="17">
        <f>SUM(M18:M20)</f>
        <v>2433</v>
      </c>
      <c r="N21" s="17">
        <f t="shared" ref="M21:Q21" si="10">SUM(N18:N20)</f>
        <v>2518</v>
      </c>
      <c r="O21" s="17">
        <f t="shared" si="10"/>
        <v>2571</v>
      </c>
      <c r="P21" s="17">
        <f t="shared" si="10"/>
        <v>2626</v>
      </c>
      <c r="Q21" s="21">
        <f t="shared" si="10"/>
        <v>2683</v>
      </c>
    </row>
    <row r="22" spans="2:18" x14ac:dyDescent="0.3">
      <c r="B22" s="2" t="s">
        <v>46</v>
      </c>
      <c r="C22" s="17">
        <f>NPV(C13,D21:H21)</f>
        <v>9207.4576326826027</v>
      </c>
      <c r="D22" s="17"/>
      <c r="E22" s="17"/>
      <c r="F22" s="17"/>
      <c r="G22" s="17"/>
      <c r="H22" s="17"/>
      <c r="K22" s="2" t="s">
        <v>46</v>
      </c>
      <c r="L22" s="17">
        <f>NPV(C13,N21:Q21)</f>
        <v>8853.8969160312154</v>
      </c>
      <c r="M22" s="17"/>
      <c r="N22" s="17"/>
      <c r="O22" s="17"/>
      <c r="P22" s="17"/>
    </row>
    <row r="23" spans="2:18" x14ac:dyDescent="0.3">
      <c r="B23" s="2" t="s">
        <v>43</v>
      </c>
      <c r="C23" s="17"/>
      <c r="D23" s="17"/>
      <c r="E23" s="17"/>
      <c r="F23" s="17"/>
      <c r="G23" s="17"/>
      <c r="H23" s="17">
        <f>(H21*(1+C14))/(C13-C14)</f>
        <v>51185.256410256421</v>
      </c>
      <c r="K23" s="2" t="s">
        <v>43</v>
      </c>
      <c r="L23" s="17"/>
      <c r="M23" s="17"/>
      <c r="N23" s="17"/>
      <c r="O23" s="17"/>
      <c r="R23" s="17">
        <f>(Q21*(1+C14))/(C13-C14)</f>
        <v>58475.641025641031</v>
      </c>
    </row>
    <row r="24" spans="2:18" x14ac:dyDescent="0.3">
      <c r="B24" s="2" t="s">
        <v>45</v>
      </c>
      <c r="C24" s="17">
        <f>-PV(C13,H16,0,H23)</f>
        <v>37045.021239475216</v>
      </c>
      <c r="D24" s="17"/>
      <c r="E24" s="17"/>
      <c r="F24" s="17"/>
      <c r="G24" s="17"/>
      <c r="H24" s="17"/>
      <c r="K24" s="2" t="s">
        <v>45</v>
      </c>
      <c r="L24" s="17">
        <f>-PV(C13,R16,0,R23)</f>
        <v>42321.393223552048</v>
      </c>
      <c r="N24" s="17"/>
      <c r="O24" s="17"/>
      <c r="P24" s="17"/>
      <c r="Q24" s="17"/>
    </row>
    <row r="25" spans="2:18" x14ac:dyDescent="0.3">
      <c r="B25" s="2" t="s">
        <v>47</v>
      </c>
      <c r="C25" s="19">
        <f>C24/C27</f>
        <v>0.80093050454372217</v>
      </c>
      <c r="D25" s="17"/>
      <c r="E25" s="17"/>
      <c r="F25" s="17"/>
      <c r="G25" s="17"/>
      <c r="H25" s="17"/>
      <c r="K25" s="2" t="s">
        <v>47</v>
      </c>
      <c r="L25" s="19">
        <f>L24/L27</f>
        <v>0.82698882816527763</v>
      </c>
      <c r="M25" s="17"/>
      <c r="N25" s="17"/>
      <c r="O25" s="17"/>
      <c r="P25" s="17"/>
      <c r="Q25" s="17"/>
    </row>
    <row r="27" spans="2:18" x14ac:dyDescent="0.3">
      <c r="B27" s="2" t="s">
        <v>36</v>
      </c>
      <c r="C27" s="12">
        <f>C22+C24</f>
        <v>46252.478872157822</v>
      </c>
      <c r="K27" s="2" t="s">
        <v>36</v>
      </c>
      <c r="L27" s="12">
        <f>SUM(L22:L24)</f>
        <v>51175.29013958326</v>
      </c>
    </row>
    <row r="28" spans="2:18" x14ac:dyDescent="0.3">
      <c r="B28" s="16" t="s">
        <v>37</v>
      </c>
      <c r="C28" s="12">
        <v>-16167</v>
      </c>
      <c r="K28" s="16" t="s">
        <v>37</v>
      </c>
      <c r="L28" s="12">
        <v>-16167</v>
      </c>
    </row>
    <row r="29" spans="2:18" x14ac:dyDescent="0.3">
      <c r="B29" s="15" t="s">
        <v>38</v>
      </c>
      <c r="C29" s="12">
        <v>-6361</v>
      </c>
      <c r="K29" s="15" t="s">
        <v>38</v>
      </c>
      <c r="L29" s="12">
        <v>-6361</v>
      </c>
    </row>
    <row r="30" spans="2:18" x14ac:dyDescent="0.3">
      <c r="B30" t="s">
        <v>39</v>
      </c>
      <c r="C30" s="12">
        <f>SUM(C27:C29)</f>
        <v>23724.478872157822</v>
      </c>
      <c r="K30" t="s">
        <v>39</v>
      </c>
      <c r="L30" s="12">
        <f>SUM(L27:L29)</f>
        <v>28647.29013958326</v>
      </c>
    </row>
    <row r="31" spans="2:18" x14ac:dyDescent="0.3">
      <c r="B31" t="s">
        <v>40</v>
      </c>
      <c r="C31">
        <v>685.3</v>
      </c>
      <c r="D31" t="s">
        <v>41</v>
      </c>
      <c r="K31" t="s">
        <v>40</v>
      </c>
      <c r="L31">
        <v>685.3</v>
      </c>
      <c r="M31" t="s">
        <v>41</v>
      </c>
    </row>
    <row r="32" spans="2:18" x14ac:dyDescent="0.3">
      <c r="B32" t="s">
        <v>42</v>
      </c>
      <c r="C32" s="18">
        <f>C30/C31</f>
        <v>34.619114069980775</v>
      </c>
      <c r="K32" t="s">
        <v>42</v>
      </c>
      <c r="L32" s="18">
        <f>L30/L31</f>
        <v>41.802553829831112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3FD3-2516-49EA-852D-DCEA2CFF1564}">
  <dimension ref="B2:I10"/>
  <sheetViews>
    <sheetView zoomScale="120" workbookViewId="0">
      <selection activeCell="K7" sqref="K7"/>
    </sheetView>
  </sheetViews>
  <sheetFormatPr baseColWidth="10" defaultRowHeight="14.4" x14ac:dyDescent="0.3"/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11</v>
      </c>
    </row>
    <row r="3" spans="2:9" ht="28.8" x14ac:dyDescent="0.3">
      <c r="B3" s="2" t="s">
        <v>13</v>
      </c>
      <c r="C3" s="3">
        <v>35367</v>
      </c>
      <c r="D3" s="3">
        <v>33856</v>
      </c>
      <c r="E3" s="3">
        <v>33338</v>
      </c>
      <c r="F3" s="3">
        <v>32846</v>
      </c>
      <c r="G3" s="3">
        <v>32380</v>
      </c>
      <c r="H3" s="3">
        <v>31940</v>
      </c>
      <c r="I3" s="4">
        <v>-0.02</v>
      </c>
    </row>
    <row r="4" spans="2:9" ht="28.8" x14ac:dyDescent="0.3">
      <c r="B4" s="2" t="s">
        <v>14</v>
      </c>
      <c r="C4" s="3">
        <v>4412</v>
      </c>
      <c r="D4" s="3">
        <v>4296</v>
      </c>
      <c r="E4" s="3">
        <v>4161</v>
      </c>
      <c r="F4" s="3">
        <v>3961</v>
      </c>
      <c r="G4" s="3">
        <v>3761</v>
      </c>
      <c r="H4" s="3">
        <v>3561</v>
      </c>
      <c r="I4" s="4">
        <v>-4.2000000000000003E-2</v>
      </c>
    </row>
    <row r="5" spans="2:9" ht="43.2" x14ac:dyDescent="0.3">
      <c r="B5" s="2" t="s">
        <v>15</v>
      </c>
      <c r="C5" s="2">
        <v>-903</v>
      </c>
      <c r="D5" s="2">
        <v>-907</v>
      </c>
      <c r="E5" s="2">
        <v>-913</v>
      </c>
      <c r="F5" s="2">
        <v>-919</v>
      </c>
      <c r="G5" s="2">
        <v>-924</v>
      </c>
      <c r="H5" s="2">
        <v>-930</v>
      </c>
      <c r="I5" s="4">
        <v>6.0000000000000001E-3</v>
      </c>
    </row>
    <row r="6" spans="2:9" ht="43.2" x14ac:dyDescent="0.3">
      <c r="B6" s="2" t="s">
        <v>16</v>
      </c>
      <c r="C6" s="3">
        <v>-6343</v>
      </c>
      <c r="D6" s="3">
        <v>-6343</v>
      </c>
      <c r="E6" s="3">
        <v>-6343</v>
      </c>
      <c r="F6" s="3">
        <v>-6343</v>
      </c>
      <c r="G6" s="3">
        <v>-6343</v>
      </c>
      <c r="H6" s="3">
        <v>-6343</v>
      </c>
      <c r="I6" s="4">
        <v>0</v>
      </c>
    </row>
    <row r="7" spans="2:9" ht="28.8" x14ac:dyDescent="0.3">
      <c r="B7" s="2" t="s">
        <v>17</v>
      </c>
      <c r="C7" s="3">
        <v>32533</v>
      </c>
      <c r="D7" s="3">
        <v>30902</v>
      </c>
      <c r="E7" s="3">
        <v>30244</v>
      </c>
      <c r="F7" s="3">
        <v>29546</v>
      </c>
      <c r="G7" s="3">
        <v>28874</v>
      </c>
      <c r="H7" s="3">
        <v>28228</v>
      </c>
      <c r="I7" s="4">
        <v>-2.8000000000000001E-2</v>
      </c>
    </row>
    <row r="8" spans="2:9" ht="28.8" x14ac:dyDescent="0.3">
      <c r="B8" s="2" t="s">
        <v>18</v>
      </c>
      <c r="C8" s="3">
        <v>14158</v>
      </c>
      <c r="D8" s="3">
        <v>13375</v>
      </c>
      <c r="E8" s="3">
        <v>12943</v>
      </c>
      <c r="F8" s="3">
        <v>12516</v>
      </c>
      <c r="G8" s="3">
        <v>12131</v>
      </c>
      <c r="H8" s="3">
        <v>11787</v>
      </c>
      <c r="I8" s="4">
        <v>-3.5999999999999997E-2</v>
      </c>
    </row>
    <row r="9" spans="2:9" x14ac:dyDescent="0.3">
      <c r="B9" s="2" t="s">
        <v>19</v>
      </c>
      <c r="C9" s="3">
        <v>1166</v>
      </c>
      <c r="D9" s="3">
        <v>1150</v>
      </c>
      <c r="E9" s="3">
        <v>1134</v>
      </c>
      <c r="F9" s="3">
        <v>1116</v>
      </c>
      <c r="G9" s="3">
        <v>1098</v>
      </c>
      <c r="H9" s="3">
        <v>1079</v>
      </c>
      <c r="I9" s="4">
        <v>-1.4999999999999999E-2</v>
      </c>
    </row>
    <row r="10" spans="2:9" ht="43.2" x14ac:dyDescent="0.3">
      <c r="B10" s="2" t="s">
        <v>20</v>
      </c>
      <c r="C10" s="3">
        <v>17209</v>
      </c>
      <c r="D10" s="3">
        <v>16376</v>
      </c>
      <c r="E10" s="3">
        <v>16167</v>
      </c>
      <c r="F10" s="3">
        <v>15913</v>
      </c>
      <c r="G10" s="3">
        <v>15644</v>
      </c>
      <c r="H10" s="3">
        <v>15362</v>
      </c>
      <c r="I10" s="4">
        <v>-2.1999999999999999E-2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</dc:creator>
  <cp:lastModifiedBy>ANDRES ROQUES SANCHEZ</cp:lastModifiedBy>
  <dcterms:created xsi:type="dcterms:W3CDTF">2015-06-05T18:19:34Z</dcterms:created>
  <dcterms:modified xsi:type="dcterms:W3CDTF">2026-04-23T16:12:53Z</dcterms:modified>
</cp:coreProperties>
</file>