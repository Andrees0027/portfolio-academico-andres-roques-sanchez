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esktop\Uni\2M Segundo de master\Economía\NTIC\Caso 2 TVM\"/>
    </mc:Choice>
  </mc:AlternateContent>
  <xr:revisionPtr revIDLastSave="0" documentId="13_ncr:1_{6BE8401D-4E12-4605-81FB-1AFE78FE7B8E}" xr6:coauthVersionLast="47" xr6:coauthVersionMax="47" xr10:uidLastSave="{00000000-0000-0000-0000-000000000000}"/>
  <bookViews>
    <workbookView xWindow="-108" yWindow="-108" windowWidth="23256" windowHeight="12456" firstSheet="1" activeTab="7" xr2:uid="{222EF003-5ABE-8B48-A270-156120857F55}"/>
  </bookViews>
  <sheets>
    <sheet name="Presentacion" sheetId="15" r:id="rId1"/>
    <sheet name="Sit 01" sheetId="4" r:id="rId2"/>
    <sheet name="Sit 02" sheetId="5" r:id="rId3"/>
    <sheet name="Sit 03" sheetId="1" r:id="rId4"/>
    <sheet name="Sit 04" sheetId="7" r:id="rId5"/>
    <sheet name="Sit 05" sheetId="3" r:id="rId6"/>
    <sheet name="Sit 06" sheetId="10" r:id="rId7"/>
    <sheet name="Sit 07" sheetId="11" r:id="rId8"/>
    <sheet name="Sit 08" sheetId="12" r:id="rId9"/>
    <sheet name="Sit 09" sheetId="14" r:id="rId10"/>
    <sheet name="OLD_Sit 04" sheetId="6" r:id="rId11"/>
  </sheets>
  <definedNames>
    <definedName name="_ftnref1" localSheetId="0">Presentacion!$B$15</definedName>
    <definedName name="_Toc257447184" localSheetId="0">Presentacion!$B$17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0" l="1"/>
  <c r="C12" i="3"/>
  <c r="C9" i="3"/>
  <c r="H12" i="1"/>
  <c r="E13" i="1" s="1"/>
  <c r="H13" i="1"/>
  <c r="H18" i="1"/>
  <c r="H19" i="1" s="1"/>
  <c r="H25" i="1"/>
  <c r="F26" i="1" s="1"/>
  <c r="H26" i="1"/>
  <c r="H32" i="1"/>
  <c r="H33" i="1"/>
  <c r="H39" i="1"/>
  <c r="E40" i="1" s="1"/>
  <c r="H40" i="1"/>
  <c r="D40" i="1"/>
  <c r="D41" i="1" s="1"/>
  <c r="E21" i="4"/>
  <c r="C16" i="4"/>
  <c r="C20" i="4"/>
  <c r="C5" i="7"/>
  <c r="C6" i="7"/>
  <c r="C10" i="7"/>
  <c r="C4" i="7"/>
  <c r="C8" i="3"/>
  <c r="D13" i="14"/>
  <c r="E13" i="14"/>
  <c r="F13" i="14"/>
  <c r="C13" i="14"/>
  <c r="E20" i="12"/>
  <c r="F20" i="12"/>
  <c r="G20" i="12"/>
  <c r="H20" i="12"/>
  <c r="I20" i="12"/>
  <c r="J20" i="12"/>
  <c r="D20" i="12"/>
  <c r="J14" i="12"/>
  <c r="I14" i="12"/>
  <c r="I17" i="12" s="1"/>
  <c r="I19" i="12" s="1"/>
  <c r="H14" i="12"/>
  <c r="H17" i="12" s="1"/>
  <c r="H19" i="12" s="1"/>
  <c r="G14" i="12"/>
  <c r="G17" i="12" s="1"/>
  <c r="G19" i="12" s="1"/>
  <c r="F14" i="12"/>
  <c r="E14" i="12"/>
  <c r="D14" i="12"/>
  <c r="C20" i="12"/>
  <c r="D25" i="12"/>
  <c r="C22" i="12"/>
  <c r="E19" i="12"/>
  <c r="E17" i="12"/>
  <c r="F16" i="12"/>
  <c r="H16" i="12"/>
  <c r="J17" i="12"/>
  <c r="J19" i="12" s="1"/>
  <c r="D16" i="12"/>
  <c r="I16" i="12"/>
  <c r="C10" i="12"/>
  <c r="C11" i="12"/>
  <c r="C8" i="12"/>
  <c r="D28" i="11"/>
  <c r="D13" i="11"/>
  <c r="D14" i="11" s="1"/>
  <c r="D18" i="11" s="1"/>
  <c r="H12" i="10"/>
  <c r="E10" i="10"/>
  <c r="E12" i="10" s="1"/>
  <c r="H10" i="10"/>
  <c r="H11" i="10" s="1"/>
  <c r="I10" i="10"/>
  <c r="I12" i="10" s="1"/>
  <c r="D10" i="10"/>
  <c r="D11" i="10" s="1"/>
  <c r="C7" i="10"/>
  <c r="F10" i="10" s="1"/>
  <c r="F3" i="10"/>
  <c r="F5" i="10" s="1"/>
  <c r="H3" i="10"/>
  <c r="C3" i="10"/>
  <c r="C10" i="3"/>
  <c r="D6" i="11" s="1"/>
  <c r="D7" i="11" s="1"/>
  <c r="D17" i="11" s="1"/>
  <c r="C25" i="11" s="1"/>
  <c r="D25" i="11" s="1"/>
  <c r="D7" i="3"/>
  <c r="D3" i="10" s="1"/>
  <c r="E7" i="3"/>
  <c r="E3" i="10" s="1"/>
  <c r="E5" i="10" s="1"/>
  <c r="F7" i="3"/>
  <c r="G7" i="3"/>
  <c r="G3" i="10" s="1"/>
  <c r="G5" i="10" s="1"/>
  <c r="H7" i="3"/>
  <c r="I7" i="3"/>
  <c r="I3" i="10" s="1"/>
  <c r="I5" i="10" s="1"/>
  <c r="J7" i="3"/>
  <c r="J3" i="10" s="1"/>
  <c r="J5" i="10" s="1"/>
  <c r="C7" i="3"/>
  <c r="G23" i="7"/>
  <c r="G15" i="7"/>
  <c r="G16" i="7"/>
  <c r="G17" i="7"/>
  <c r="G18" i="7"/>
  <c r="C11" i="7"/>
  <c r="D46" i="1"/>
  <c r="D47" i="1"/>
  <c r="D45" i="1"/>
  <c r="C47" i="1"/>
  <c r="C46" i="1"/>
  <c r="C45" i="1"/>
  <c r="C44" i="1"/>
  <c r="D34" i="1"/>
  <c r="D27" i="1"/>
  <c r="D20" i="1"/>
  <c r="D33" i="1"/>
  <c r="E33" i="1"/>
  <c r="F33" i="1"/>
  <c r="G33" i="1"/>
  <c r="E26" i="1"/>
  <c r="G26" i="1"/>
  <c r="D26" i="1"/>
  <c r="D19" i="1"/>
  <c r="D13" i="1"/>
  <c r="E12" i="1"/>
  <c r="D12" i="1"/>
  <c r="C39" i="1"/>
  <c r="E39" i="1"/>
  <c r="F39" i="1"/>
  <c r="G39" i="1"/>
  <c r="D39" i="1"/>
  <c r="C32" i="1"/>
  <c r="D32" i="1"/>
  <c r="E32" i="1"/>
  <c r="F32" i="1"/>
  <c r="G32" i="1"/>
  <c r="D25" i="1"/>
  <c r="E25" i="1"/>
  <c r="F25" i="1"/>
  <c r="G25" i="1"/>
  <c r="C25" i="1"/>
  <c r="D18" i="1"/>
  <c r="E18" i="1"/>
  <c r="F18" i="1"/>
  <c r="G18" i="1"/>
  <c r="C18" i="1"/>
  <c r="D6" i="1"/>
  <c r="E6" i="1" s="1"/>
  <c r="C7" i="1"/>
  <c r="C21" i="5"/>
  <c r="C20" i="5"/>
  <c r="B21" i="5"/>
  <c r="B20" i="5"/>
  <c r="C19" i="5"/>
  <c r="D11" i="5"/>
  <c r="E20" i="4"/>
  <c r="E19" i="4"/>
  <c r="D20" i="4"/>
  <c r="D19" i="4"/>
  <c r="C19" i="4"/>
  <c r="C15" i="4"/>
  <c r="C14" i="4"/>
  <c r="F12" i="10" l="1"/>
  <c r="F11" i="10"/>
  <c r="E11" i="10"/>
  <c r="G10" i="10"/>
  <c r="J10" i="10"/>
  <c r="D12" i="10"/>
  <c r="I11" i="10"/>
  <c r="K5" i="10"/>
  <c r="C22" i="10" s="1"/>
  <c r="D4" i="10"/>
  <c r="C17" i="10" s="1"/>
  <c r="C19" i="10" s="1"/>
  <c r="C26" i="11"/>
  <c r="D26" i="11" s="1"/>
  <c r="D19" i="11"/>
  <c r="C27" i="11" s="1"/>
  <c r="D27" i="11" s="1"/>
  <c r="D29" i="11" s="1"/>
  <c r="D31" i="11" s="1"/>
  <c r="C10" i="10"/>
  <c r="E27" i="1"/>
  <c r="E34" i="1"/>
  <c r="E41" i="1"/>
  <c r="H20" i="1"/>
  <c r="F19" i="1"/>
  <c r="E19" i="1"/>
  <c r="E20" i="1" s="1"/>
  <c r="H34" i="1"/>
  <c r="G13" i="1"/>
  <c r="G40" i="1"/>
  <c r="F13" i="1"/>
  <c r="F40" i="1"/>
  <c r="H27" i="1"/>
  <c r="G19" i="1"/>
  <c r="H41" i="1"/>
  <c r="C48" i="1"/>
  <c r="D48" i="1" s="1"/>
  <c r="C7" i="7"/>
  <c r="G16" i="12"/>
  <c r="E16" i="12"/>
  <c r="F17" i="12"/>
  <c r="F19" i="12" s="1"/>
  <c r="J16" i="12"/>
  <c r="D17" i="12"/>
  <c r="D19" i="12" s="1"/>
  <c r="G19" i="7"/>
  <c r="F12" i="1"/>
  <c r="F6" i="1"/>
  <c r="G12" i="1" s="1"/>
  <c r="E22" i="7"/>
  <c r="D22" i="7"/>
  <c r="E14" i="7"/>
  <c r="D14" i="7"/>
  <c r="C14" i="7"/>
  <c r="G22" i="7"/>
  <c r="F22" i="7"/>
  <c r="G14" i="7"/>
  <c r="F14" i="7"/>
  <c r="B20" i="4"/>
  <c r="B19" i="4"/>
  <c r="G12" i="10" l="1"/>
  <c r="G11" i="10"/>
  <c r="J11" i="10"/>
  <c r="K11" i="10" s="1"/>
  <c r="C23" i="10" s="1"/>
  <c r="C24" i="10" s="1"/>
  <c r="J12" i="10"/>
  <c r="C12" i="10"/>
  <c r="D13" i="10"/>
  <c r="C18" i="10" s="1"/>
  <c r="G41" i="1"/>
  <c r="G27" i="1"/>
  <c r="G34" i="1"/>
  <c r="G20" i="1"/>
  <c r="F34" i="1"/>
  <c r="F20" i="1"/>
  <c r="F41" i="1"/>
  <c r="F27" i="1"/>
  <c r="D24" i="12"/>
  <c r="D23" i="12"/>
  <c r="K14" i="10" l="1"/>
</calcChain>
</file>

<file path=xl/sharedStrings.xml><?xml version="1.0" encoding="utf-8"?>
<sst xmlns="http://schemas.openxmlformats.org/spreadsheetml/2006/main" count="238" uniqueCount="189">
  <si>
    <t>IPC</t>
  </si>
  <si>
    <t>n</t>
  </si>
  <si>
    <t>Costes actuales anuales</t>
  </si>
  <si>
    <t>m€</t>
  </si>
  <si>
    <t>Oferta proveedor 1</t>
  </si>
  <si>
    <t>Pago inicial</t>
  </si>
  <si>
    <t>Pagos recurrentes</t>
  </si>
  <si>
    <t>Costes actuales</t>
  </si>
  <si>
    <t>Oferta proveedor 2</t>
  </si>
  <si>
    <t>WACC</t>
  </si>
  <si>
    <t>Oferta proveedor 3</t>
  </si>
  <si>
    <t>PV</t>
  </si>
  <si>
    <t>Total</t>
  </si>
  <si>
    <t>Oferta</t>
  </si>
  <si>
    <t>CF Alemania (m€)</t>
  </si>
  <si>
    <t>PV Capex anteriores 5 años</t>
  </si>
  <si>
    <t>CF neto negocio</t>
  </si>
  <si>
    <t>CF neto total</t>
  </si>
  <si>
    <t>Telefónica, S.A.</t>
  </si>
  <si>
    <t>Selected Beta</t>
  </si>
  <si>
    <t>Market Risk Premium</t>
  </si>
  <si>
    <t>Risk-free Rate</t>
  </si>
  <si>
    <t>Additional Risk Adjustments</t>
  </si>
  <si>
    <t>Pre-tax Cost of Debt</t>
  </si>
  <si>
    <t>Tax Rate</t>
  </si>
  <si>
    <t>Debt % of Capital</t>
  </si>
  <si>
    <t>Value</t>
  </si>
  <si>
    <t>IRR minima exig/WACC</t>
  </si>
  <si>
    <t>VCM</t>
  </si>
  <si>
    <t>GSF</t>
  </si>
  <si>
    <t xml:space="preserve">https://www.cnmc.es/expedientes/waccdtsa00921 </t>
  </si>
  <si>
    <t>Flujo neto de caja ACTUAL</t>
  </si>
  <si>
    <t>Flujo neto de caja P1</t>
  </si>
  <si>
    <t>Flujo neto de caja P2</t>
  </si>
  <si>
    <t>Flujo neto de caja P3</t>
  </si>
  <si>
    <t>Flujo neto de caja P4</t>
  </si>
  <si>
    <t>PV Ahorro</t>
  </si>
  <si>
    <t>Oferta proveedor 4</t>
  </si>
  <si>
    <t>EFECTO DE LA CAPITALIZACIÖN COMPUESTA</t>
  </si>
  <si>
    <t>VF del Depósito</t>
  </si>
  <si>
    <t>Depósito a 7 años</t>
  </si>
  <si>
    <t>NPV Depósito</t>
  </si>
  <si>
    <t>NPV Alemania</t>
  </si>
  <si>
    <t>¿Quiere decir NPV Depósito = 0 que no se gana dinero con el depósito?</t>
  </si>
  <si>
    <t>CF neto total Depósito</t>
  </si>
  <si>
    <t>Capex</t>
  </si>
  <si>
    <t>Flujo neto de Capital</t>
  </si>
  <si>
    <t>Euros</t>
  </si>
  <si>
    <t>Caso b</t>
  </si>
  <si>
    <t>Caso a</t>
  </si>
  <si>
    <t>Flujo neto de Opex O&amp;M de red</t>
  </si>
  <si>
    <t>Flujo de caja de Capex</t>
  </si>
  <si>
    <t>ARPU mensual Voz y BA FO</t>
  </si>
  <si>
    <t>Cobros por Servicios</t>
  </si>
  <si>
    <t>Pagos Opex totales</t>
  </si>
  <si>
    <t>IRR</t>
  </si>
  <si>
    <t>x IRR/WACC</t>
  </si>
  <si>
    <t>BRASIL</t>
  </si>
  <si>
    <t>ESPAÑA</t>
  </si>
  <si>
    <t>ALEMANIA</t>
  </si>
  <si>
    <t>PERÚ</t>
  </si>
  <si>
    <t>NPV (m€)</t>
  </si>
  <si>
    <t>UUII Pasadas</t>
  </si>
  <si>
    <t>Margen del Factor de Seguridad</t>
  </si>
  <si>
    <t>Factor de seguridad corporativo</t>
  </si>
  <si>
    <t xml:space="preserve">¿Cumple requisito obligatorio aprobación? </t>
  </si>
  <si>
    <t xml:space="preserve">¿Cumple requisito mínimo corporativo aprobación? </t>
  </si>
  <si>
    <t>Criterio Margen del Factor de Seguridad</t>
  </si>
  <si>
    <t>Máximo valor accionista</t>
  </si>
  <si>
    <t>Criterio IRR</t>
  </si>
  <si>
    <t>Elegibles Capital [400,800] m€</t>
  </si>
  <si>
    <t>Mutuamente Excluyentes ¿Cuál debe elegirse?</t>
  </si>
  <si>
    <t>1, 2, 3, 4</t>
  </si>
  <si>
    <t>Si/No</t>
  </si>
  <si>
    <t xml:space="preserve">Caso FiberCo de Telefónica: análisis de proyectos de inversión </t>
  </si>
  <si>
    <t>Autores : Profesores Luis Castejón Martín y Fernando Herrera González (ETSIT-UPM)</t>
  </si>
  <si>
    <t>Objetivo: practicar los conceptos de TVM, como el coste del capital WACC, la rentabilidad exigida por el accionista Ke, pagos de deuda, NPV, IRR, en diferentes proyectos de ahorro de costes y de inversión.</t>
  </si>
  <si>
    <t>Tipo de entrega: Individual.</t>
  </si>
  <si>
    <t>Formato de la entrega: se entregará la hoja de cálculo Excel proporcionada junto al caso, completada con los cálculos y la justificación argumental de las respuestas cuando proceda.</t>
  </si>
  <si>
    <t>Extensión de la entrega: no hay límites en el Excel.</t>
  </si>
  <si>
    <t>MUIT</t>
  </si>
  <si>
    <t>Análisis de Negocio TIC (NTIC)</t>
  </si>
  <si>
    <t>valores de CNMC de WACC, Ke y Kd</t>
  </si>
  <si>
    <t>NPV costes actuales</t>
  </si>
  <si>
    <t>NPV costes P1</t>
  </si>
  <si>
    <t>NPV Ahorro P1</t>
  </si>
  <si>
    <t>NPV costes P2</t>
  </si>
  <si>
    <t>NPV Ahorro P2</t>
  </si>
  <si>
    <t>NPV costes P3</t>
  </si>
  <si>
    <t>NPV Ahorro P3</t>
  </si>
  <si>
    <t>NPV costes P4</t>
  </si>
  <si>
    <t>NPV Ahorro P4</t>
  </si>
  <si>
    <t>Ke</t>
  </si>
  <si>
    <t>Kd pretax</t>
  </si>
  <si>
    <t>Weight</t>
  </si>
  <si>
    <t>Kd after tax</t>
  </si>
  <si>
    <t>Wighted value</t>
  </si>
  <si>
    <t>ALEMANIA INVIERTO 30000</t>
  </si>
  <si>
    <t>NPV @ WACC</t>
  </si>
  <si>
    <t>(1) SUMA VF ALEMANIA</t>
  </si>
  <si>
    <t>VF(7) de los CF netos de cada año desde año 1 (no del 0)</t>
  </si>
  <si>
    <t>Rentabilidad depósito @WACC</t>
  </si>
  <si>
    <t>DEPÓSITO INVIERTO CAPEX</t>
  </si>
  <si>
    <t>(2) SUMA VF DEPÓSITO</t>
  </si>
  <si>
    <t>(1)-(2) DIFERENCIA SUMA VF ALEMANIA Y DEPÓSITO</t>
  </si>
  <si>
    <t>NPV Alemania: Premio de invertir Capex en Alemania en vez de un Depósito</t>
  </si>
  <si>
    <t>Premio: NPV de Alemania (la diferencia entre ambos)</t>
  </si>
  <si>
    <t>OTRA FORMA DE VERLO</t>
  </si>
  <si>
    <t>Premio: VA de la Diferencia VF Alemania y Depósito</t>
  </si>
  <si>
    <t>Valor residual del Capex</t>
  </si>
  <si>
    <t>NPV Costes Capital @WACC</t>
  </si>
  <si>
    <t>TCO Capital: Coste Anual Equivalente Capital</t>
  </si>
  <si>
    <t>Opex anual O&amp;M Red por UUII pasada</t>
  </si>
  <si>
    <t>Opex anual O&amp;M Red por UUII en servicio</t>
  </si>
  <si>
    <t>NPV Costes Opex O&amp;M @WACC</t>
  </si>
  <si>
    <t>TCO Opex O&amp;M: Coste Anual Equivalente Opex O&amp;M</t>
  </si>
  <si>
    <t>TCO TOTAL</t>
  </si>
  <si>
    <t>TCO total</t>
  </si>
  <si>
    <t>Líneas mayoristas de fibra en servicio</t>
  </si>
  <si>
    <t>TCO POR UI EN SERVICIO</t>
  </si>
  <si>
    <t>Anual</t>
  </si>
  <si>
    <t>Mensual</t>
  </si>
  <si>
    <t>TCO total por fibra mayorista en servicio</t>
  </si>
  <si>
    <t>SGA por línea</t>
  </si>
  <si>
    <t>Costes totales por fibra mayorista en servicio (TCO total + SGA)</t>
  </si>
  <si>
    <t>Margen de la línea mayorista de fibra</t>
  </si>
  <si>
    <t>Precio NEBA local (VULA)</t>
  </si>
  <si>
    <t>TCO Capital Línea Mayorista fibra en servicio</t>
  </si>
  <si>
    <t>TCO Opex O&amp;M Línea Mayorista fibra en servicio</t>
  </si>
  <si>
    <t>ARPU servicioo Universal</t>
  </si>
  <si>
    <t xml:space="preserve">https://www.movistar.es/particulares/internet/adsl-fibra-optica/banda-ancha-servicio-universal/ </t>
  </si>
  <si>
    <t xml:space="preserve">EBITDA </t>
  </si>
  <si>
    <t>% EBITDA</t>
  </si>
  <si>
    <t>Cobros totales</t>
  </si>
  <si>
    <t>Pagos totales</t>
  </si>
  <si>
    <t>Flujo neto de caja</t>
  </si>
  <si>
    <t>NPV @WACC</t>
  </si>
  <si>
    <t>Multilique por 12 para la fila siguiente, que es anual</t>
  </si>
  <si>
    <t>Ayudas anuales PEBA</t>
  </si>
  <si>
    <t>Deuda</t>
  </si>
  <si>
    <t>Plazo deuda</t>
  </si>
  <si>
    <t>Coste deuda</t>
  </si>
  <si>
    <t>Retorno anual proyectos inversión</t>
  </si>
  <si>
    <t>Valor final activo</t>
  </si>
  <si>
    <t>Coste de capital proyectos propios WAC TEF</t>
  </si>
  <si>
    <t>Vía Deuda</t>
  </si>
  <si>
    <t>Intereses</t>
  </si>
  <si>
    <t>Principal</t>
  </si>
  <si>
    <t>Pago total</t>
  </si>
  <si>
    <t>Check fórmula PAGO</t>
  </si>
  <si>
    <t>Vía capital propio</t>
  </si>
  <si>
    <t>Retorno anual</t>
  </si>
  <si>
    <t>Recuperación final del capital invertido</t>
  </si>
  <si>
    <t>CF</t>
  </si>
  <si>
    <t>NPV</t>
  </si>
  <si>
    <t xml:space="preserve">VF @WACC Reinversión de las rentabilidades anuales </t>
  </si>
  <si>
    <t>VF(CF Año 1)</t>
  </si>
  <si>
    <t>VF(CF Año 2)</t>
  </si>
  <si>
    <t>VF(CF Año 3)</t>
  </si>
  <si>
    <t>VF(CF Año 4)</t>
  </si>
  <si>
    <t>Suma VF(Cfi)</t>
  </si>
  <si>
    <t>Interés simple sin reinversión</t>
  </si>
  <si>
    <t>Suma interes simple</t>
  </si>
  <si>
    <t>¿Qúe sucede si nos es posible reinvertir los retornos anuales si en el futuro bajan las tasas de reinversión?</t>
  </si>
  <si>
    <t>Caso 01 rev. 3.0, 2 de marzo de 2025</t>
  </si>
  <si>
    <t>Flujos netos de caja</t>
  </si>
  <si>
    <t>NPV deuda</t>
  </si>
  <si>
    <t>IRR deuda</t>
  </si>
  <si>
    <t>A. Invertir en otros proyectos con capital propio</t>
  </si>
  <si>
    <t>Capex Servicios UI Pasada</t>
  </si>
  <si>
    <t>Kd</t>
  </si>
  <si>
    <t>WACC después impuestos</t>
  </si>
  <si>
    <t>WACC antes impuestos</t>
  </si>
  <si>
    <t>Ke corp</t>
  </si>
  <si>
    <t>2. Comparar IRR del fondo vs Ke corporativo</t>
  </si>
  <si>
    <t>1. Como es 100% equity, el benchmark correcto es comparar con el Ke</t>
  </si>
  <si>
    <t>No debería promover este tipo de inversiones reguladas si su rentabilidad está limitada al WACC regulatorio, ya que no cubren el Ke corporativo.</t>
  </si>
  <si>
    <t>3. ¿Debería proponerse estos proyectos?</t>
  </si>
  <si>
    <t>Pero estrictamente en términos financieros no maximizan valor para el accionista.</t>
  </si>
  <si>
    <t>Podría aceptarlas únicamente si generan crecimiento estratégico, permiten expansión futura o reducen riesgos</t>
  </si>
  <si>
    <t>+1,4 por la reinversion</t>
  </si>
  <si>
    <t>Si en el futuro bajan las tasas de reinversión, el valor futuro del proyecto disminuye y, en consecuencia, la rentabilidad efectiva del mismo se reduce. Esto ocurre porque la capitalización compuesta depende de la tasa a la que se reinvierten los flujos intermedios. Este fenómeno se conoce como riesgo de reinversión y explica por qué la IRR puede sobreestimar la rentabilidad real cuando no es posible reinvertir los flujos a la tasa inicialmente asumida.</t>
  </si>
  <si>
    <t>Se gana lo equivalente al coste del dinero medido con el WACC</t>
  </si>
  <si>
    <t>ERROR EN EL LINK</t>
  </si>
  <si>
    <t>SI</t>
  </si>
  <si>
    <t>NO</t>
  </si>
  <si>
    <t>WACC (coste oportunidad)</t>
  </si>
  <si>
    <t>tir del proyecto</t>
  </si>
  <si>
    <t>tir min exigida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</si>
</sst>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0.00\ &quot;€&quot;;[Red]\-#,##0.00\ &quot;€&quot;"/>
    <numFmt numFmtId="164" formatCode="0.0"/>
    <numFmt numFmtId="165" formatCode="0.0%"/>
    <numFmt numFmtId="166" formatCode="#,##0.0"/>
    <numFmt numFmtId="167" formatCode="#,##0.00\ &quot;€&quot;"/>
    <numFmt numFmtId="168" formatCode="0.000%"/>
    <numFmt numFmtId="169" formatCode="#,##0.000000\ &quot;€&quot;;[Red]\-#,##0.000000\ &quot;€&quot;"/>
    <numFmt numFmtId="170" formatCode="_-* #,##0.00\ [$€-C0A]_-;\-* #,##0.00\ [$€-C0A]_-;_-* &quot;-&quot;??\ [$€-C0A]_-;_-@_-"/>
  </numFmts>
  <fonts count="16">
    <font>
      <sz val="10"/>
      <color theme="1"/>
      <name val="ArialMT"/>
      <family val="2"/>
    </font>
    <font>
      <b/>
      <sz val="10"/>
      <color theme="1"/>
      <name val="ArialMT"/>
    </font>
    <font>
      <sz val="10"/>
      <color theme="1"/>
      <name val="ArialMT"/>
      <family val="2"/>
    </font>
    <font>
      <sz val="10"/>
      <color theme="1"/>
      <name val="ArialMT"/>
    </font>
    <font>
      <sz val="10"/>
      <color rgb="FFFF0000"/>
      <name val="ArialMT"/>
      <family val="2"/>
    </font>
    <font>
      <u/>
      <sz val="10"/>
      <color theme="10"/>
      <name val="ArialMT"/>
      <family val="2"/>
    </font>
    <font>
      <sz val="10"/>
      <color theme="1"/>
      <name val="Arial"/>
      <family val="2"/>
    </font>
    <font>
      <b/>
      <sz val="10"/>
      <color rgb="FF434343"/>
      <name val="Arial"/>
      <family val="2"/>
    </font>
    <font>
      <b/>
      <sz val="10"/>
      <color theme="1"/>
      <name val="Arial"/>
      <family val="2"/>
    </font>
    <font>
      <u/>
      <sz val="10"/>
      <color theme="1"/>
      <name val="Arial"/>
      <family val="2"/>
    </font>
    <font>
      <b/>
      <sz val="16"/>
      <color rgb="FF00B050"/>
      <name val="Arial"/>
      <family val="2"/>
    </font>
    <font>
      <b/>
      <sz val="12"/>
      <color theme="1"/>
      <name val="ArialMT"/>
    </font>
    <font>
      <sz val="12"/>
      <color theme="1"/>
      <name val="ArialMT"/>
      <family val="2"/>
    </font>
    <font>
      <b/>
      <sz val="16"/>
      <color theme="1"/>
      <name val="ArialMT"/>
    </font>
    <font>
      <b/>
      <sz val="14"/>
      <color rgb="FF00B050"/>
      <name val="ArialMT"/>
    </font>
    <font>
      <sz val="10"/>
      <color theme="9" tint="-0.249977111117893"/>
      <name val="ArialMT"/>
      <family val="2"/>
    </font>
  </fonts>
  <fills count="6">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9" tint="0.39994506668294322"/>
      </left>
      <right style="thin">
        <color theme="9" tint="0.39994506668294322"/>
      </right>
      <top style="thin">
        <color theme="9" tint="0.39994506668294322"/>
      </top>
      <bottom style="thin">
        <color theme="9" tint="0.3999450666829432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2" fillId="0" borderId="0" applyFont="0" applyFill="0" applyBorder="0" applyAlignment="0" applyProtection="0"/>
    <xf numFmtId="0" fontId="5" fillId="0" borderId="0" applyNumberFormat="0" applyFill="0" applyBorder="0" applyAlignment="0" applyProtection="0"/>
  </cellStyleXfs>
  <cellXfs count="90">
    <xf numFmtId="0" fontId="0" fillId="0" borderId="0" xfId="0"/>
    <xf numFmtId="10" fontId="0" fillId="0" borderId="0" xfId="0" applyNumberFormat="1"/>
    <xf numFmtId="0" fontId="1" fillId="0" borderId="0" xfId="0" applyFont="1"/>
    <xf numFmtId="164" fontId="0" fillId="0" borderId="0" xfId="0" applyNumberFormat="1"/>
    <xf numFmtId="2" fontId="1" fillId="0" borderId="0" xfId="0" applyNumberFormat="1" applyFont="1"/>
    <xf numFmtId="9" fontId="0" fillId="0" borderId="0" xfId="0" applyNumberFormat="1"/>
    <xf numFmtId="0" fontId="1" fillId="0" borderId="0" xfId="0" applyFont="1" applyAlignment="1">
      <alignment horizontal="right"/>
    </xf>
    <xf numFmtId="164" fontId="1" fillId="0" borderId="0" xfId="0" applyNumberFormat="1" applyFont="1"/>
    <xf numFmtId="0" fontId="3" fillId="0" borderId="0" xfId="0" applyFont="1"/>
    <xf numFmtId="3" fontId="0" fillId="0" borderId="0" xfId="0" applyNumberFormat="1"/>
    <xf numFmtId="166" fontId="0" fillId="0" borderId="0" xfId="0" applyNumberFormat="1"/>
    <xf numFmtId="10" fontId="0" fillId="0" borderId="0" xfId="1" applyNumberFormat="1" applyFont="1"/>
    <xf numFmtId="0" fontId="0" fillId="0" borderId="0" xfId="0" applyAlignment="1">
      <alignment horizontal="right"/>
    </xf>
    <xf numFmtId="0" fontId="0" fillId="0" borderId="0" xfId="0" applyAlignment="1">
      <alignment horizontal="center"/>
    </xf>
    <xf numFmtId="0" fontId="4" fillId="0" borderId="0" xfId="0" applyFont="1"/>
    <xf numFmtId="0" fontId="5" fillId="0" borderId="0" xfId="2"/>
    <xf numFmtId="10" fontId="4" fillId="0" borderId="0" xfId="0" applyNumberFormat="1" applyFont="1"/>
    <xf numFmtId="0" fontId="1" fillId="2" borderId="0" xfId="0" applyFont="1" applyFill="1"/>
    <xf numFmtId="3" fontId="1" fillId="0" borderId="0" xfId="0" applyNumberFormat="1" applyFont="1"/>
    <xf numFmtId="166" fontId="1" fillId="0" borderId="0" xfId="0" applyNumberFormat="1" applyFont="1"/>
    <xf numFmtId="0" fontId="1" fillId="4" borderId="0" xfId="0" applyFont="1" applyFill="1" applyAlignment="1">
      <alignment horizontal="right"/>
    </xf>
    <xf numFmtId="0" fontId="1" fillId="4" borderId="0" xfId="0" applyFont="1" applyFill="1"/>
    <xf numFmtId="166" fontId="1" fillId="4" borderId="0" xfId="0" applyNumberFormat="1" applyFont="1" applyFill="1"/>
    <xf numFmtId="0" fontId="0" fillId="4" borderId="0" xfId="0" applyFill="1"/>
    <xf numFmtId="165" fontId="0" fillId="0" borderId="0" xfId="1" applyNumberFormat="1" applyFont="1"/>
    <xf numFmtId="3" fontId="3" fillId="0" borderId="0" xfId="0" applyNumberFormat="1" applyFont="1"/>
    <xf numFmtId="0" fontId="6" fillId="0" borderId="0" xfId="0" applyFont="1"/>
    <xf numFmtId="0" fontId="7" fillId="0" borderId="0" xfId="0" applyFont="1"/>
    <xf numFmtId="0" fontId="8" fillId="0" borderId="0" xfId="0" applyFont="1" applyAlignment="1">
      <alignment horizontal="right"/>
    </xf>
    <xf numFmtId="0" fontId="9" fillId="0" borderId="0" xfId="0" applyFont="1"/>
    <xf numFmtId="165" fontId="6" fillId="0" borderId="0" xfId="0" applyNumberFormat="1" applyFont="1" applyAlignment="1">
      <alignment horizontal="right"/>
    </xf>
    <xf numFmtId="0" fontId="8" fillId="0" borderId="0" xfId="0" applyFont="1"/>
    <xf numFmtId="0" fontId="10" fillId="0" borderId="0" xfId="0" applyFont="1" applyAlignment="1">
      <alignment horizontal="left"/>
    </xf>
    <xf numFmtId="0" fontId="1" fillId="5" borderId="0" xfId="0" applyFont="1" applyFill="1"/>
    <xf numFmtId="10" fontId="1" fillId="5" borderId="0" xfId="0" applyNumberFormat="1" applyFont="1" applyFill="1"/>
    <xf numFmtId="166" fontId="3" fillId="0" borderId="0" xfId="0" applyNumberFormat="1" applyFont="1"/>
    <xf numFmtId="10" fontId="3" fillId="0" borderId="0" xfId="1" applyNumberFormat="1" applyFont="1" applyFill="1"/>
    <xf numFmtId="2" fontId="3" fillId="0" borderId="0" xfId="1" applyNumberFormat="1" applyFont="1" applyFill="1"/>
    <xf numFmtId="164" fontId="3" fillId="0" borderId="0" xfId="1" applyNumberFormat="1" applyFont="1" applyFill="1"/>
    <xf numFmtId="4" fontId="3" fillId="0" borderId="0" xfId="1" applyNumberFormat="1" applyFont="1" applyFill="1"/>
    <xf numFmtId="0" fontId="11" fillId="0" borderId="0" xfId="0" applyFont="1"/>
    <xf numFmtId="0" fontId="12" fillId="0" borderId="2" xfId="0" applyFont="1" applyBorder="1" applyAlignment="1">
      <alignment wrapText="1"/>
    </xf>
    <xf numFmtId="0" fontId="13" fillId="0" borderId="0" xfId="0" applyFont="1"/>
    <xf numFmtId="0" fontId="14" fillId="0" borderId="0" xfId="0" applyFont="1"/>
    <xf numFmtId="164" fontId="0" fillId="0" borderId="1" xfId="0" applyNumberFormat="1" applyBorder="1"/>
    <xf numFmtId="0" fontId="6" fillId="0" borderId="1" xfId="0" applyFont="1" applyBorder="1"/>
    <xf numFmtId="40" fontId="6" fillId="0" borderId="1" xfId="0" applyNumberFormat="1" applyFont="1" applyBorder="1" applyAlignment="1">
      <alignment horizontal="right"/>
    </xf>
    <xf numFmtId="165" fontId="6" fillId="0" borderId="1" xfId="0" applyNumberFormat="1" applyFont="1" applyBorder="1" applyAlignment="1">
      <alignment horizontal="right"/>
    </xf>
    <xf numFmtId="10" fontId="6" fillId="0" borderId="1" xfId="0" applyNumberFormat="1" applyFont="1" applyBorder="1" applyAlignment="1">
      <alignment horizontal="right"/>
    </xf>
    <xf numFmtId="0" fontId="8" fillId="0" borderId="1" xfId="0" applyFont="1" applyBorder="1"/>
    <xf numFmtId="0" fontId="8" fillId="0" borderId="1" xfId="0" applyFont="1" applyBorder="1" applyAlignment="1">
      <alignment horizontal="right" wrapText="1"/>
    </xf>
    <xf numFmtId="0" fontId="8" fillId="5" borderId="1" xfId="0" applyFont="1" applyFill="1" applyBorder="1"/>
    <xf numFmtId="10" fontId="8" fillId="5" borderId="1" xfId="0" applyNumberFormat="1" applyFont="1" applyFill="1" applyBorder="1" applyAlignment="1">
      <alignment horizontal="right"/>
    </xf>
    <xf numFmtId="0" fontId="1" fillId="0" borderId="1" xfId="0" applyFont="1" applyBorder="1"/>
    <xf numFmtId="0" fontId="1" fillId="0" borderId="1" xfId="0" applyFont="1" applyBorder="1" applyAlignment="1">
      <alignment horizontal="right"/>
    </xf>
    <xf numFmtId="0" fontId="1" fillId="0" borderId="0" xfId="0" applyFont="1" applyAlignment="1">
      <alignment horizontal="left"/>
    </xf>
    <xf numFmtId="3" fontId="1" fillId="4" borderId="0" xfId="0" applyNumberFormat="1" applyFont="1" applyFill="1"/>
    <xf numFmtId="2" fontId="0" fillId="0" borderId="0" xfId="0" applyNumberFormat="1"/>
    <xf numFmtId="167" fontId="3" fillId="0" borderId="0" xfId="0" applyNumberFormat="1" applyFont="1"/>
    <xf numFmtId="167" fontId="1" fillId="0" borderId="0" xfId="0" applyNumberFormat="1" applyFont="1"/>
    <xf numFmtId="9" fontId="4" fillId="0" borderId="0" xfId="0" applyNumberFormat="1" applyFont="1"/>
    <xf numFmtId="2" fontId="1" fillId="4" borderId="0" xfId="0" applyNumberFormat="1" applyFont="1" applyFill="1"/>
    <xf numFmtId="10" fontId="1" fillId="4" borderId="0" xfId="0" applyNumberFormat="1" applyFont="1" applyFill="1"/>
    <xf numFmtId="2" fontId="4" fillId="4" borderId="0" xfId="0" applyNumberFormat="1" applyFont="1" applyFill="1" applyAlignment="1">
      <alignment horizontal="right"/>
    </xf>
    <xf numFmtId="10" fontId="0" fillId="3" borderId="0" xfId="0" applyNumberFormat="1" applyFill="1"/>
    <xf numFmtId="165" fontId="4" fillId="0" borderId="0" xfId="0" applyNumberFormat="1" applyFont="1"/>
    <xf numFmtId="4" fontId="0" fillId="0" borderId="0" xfId="0" applyNumberFormat="1"/>
    <xf numFmtId="0" fontId="1" fillId="2" borderId="3" xfId="0" applyFont="1" applyFill="1" applyBorder="1"/>
    <xf numFmtId="4" fontId="1" fillId="2" borderId="4" xfId="0" applyNumberFormat="1" applyFont="1" applyFill="1" applyBorder="1"/>
    <xf numFmtId="0" fontId="1" fillId="2" borderId="5" xfId="0" applyFont="1" applyFill="1" applyBorder="1"/>
    <xf numFmtId="10" fontId="1" fillId="2" borderId="6" xfId="0" applyNumberFormat="1" applyFont="1" applyFill="1" applyBorder="1"/>
    <xf numFmtId="2" fontId="1" fillId="0" borderId="0" xfId="1" applyNumberFormat="1" applyFont="1"/>
    <xf numFmtId="1" fontId="1" fillId="0" borderId="0" xfId="0" applyNumberFormat="1" applyFont="1" applyAlignment="1">
      <alignment horizontal="right"/>
    </xf>
    <xf numFmtId="164" fontId="1" fillId="0" borderId="0" xfId="0" applyNumberFormat="1" applyFont="1" applyAlignment="1">
      <alignment horizontal="right"/>
    </xf>
    <xf numFmtId="2" fontId="0" fillId="0" borderId="0" xfId="0" applyNumberFormat="1" applyAlignment="1">
      <alignment horizontal="right"/>
    </xf>
    <xf numFmtId="2" fontId="1" fillId="0" borderId="0" xfId="0" applyNumberFormat="1" applyFont="1" applyAlignment="1">
      <alignment horizontal="right"/>
    </xf>
    <xf numFmtId="165" fontId="6" fillId="0" borderId="1" xfId="0" applyNumberFormat="1" applyFont="1" applyBorder="1"/>
    <xf numFmtId="10" fontId="6" fillId="0" borderId="1" xfId="0" applyNumberFormat="1" applyFont="1" applyBorder="1"/>
    <xf numFmtId="9" fontId="0" fillId="0" borderId="0" xfId="1" applyFont="1"/>
    <xf numFmtId="168" fontId="0" fillId="0" borderId="0" xfId="1" applyNumberFormat="1" applyFont="1"/>
    <xf numFmtId="10" fontId="15" fillId="0" borderId="0" xfId="0" applyNumberFormat="1" applyFont="1"/>
    <xf numFmtId="0" fontId="0" fillId="0" borderId="0" xfId="0" applyAlignment="1">
      <alignment horizontal="left" vertical="center" indent="1"/>
    </xf>
    <xf numFmtId="2" fontId="4" fillId="0" borderId="0" xfId="0" applyNumberFormat="1" applyFont="1"/>
    <xf numFmtId="8" fontId="0" fillId="0" borderId="0" xfId="0" applyNumberFormat="1"/>
    <xf numFmtId="169" fontId="0" fillId="0" borderId="0" xfId="0" applyNumberFormat="1"/>
    <xf numFmtId="0" fontId="0" fillId="0" borderId="0" xfId="0" quotePrefix="1"/>
    <xf numFmtId="0" fontId="1" fillId="5" borderId="0" xfId="1" applyNumberFormat="1" applyFont="1" applyFill="1"/>
    <xf numFmtId="170" fontId="0" fillId="0" borderId="0" xfId="0" applyNumberFormat="1"/>
    <xf numFmtId="8" fontId="1" fillId="0" borderId="0" xfId="1" applyNumberFormat="1" applyFont="1"/>
    <xf numFmtId="0" fontId="0" fillId="0" borderId="0" xfId="0" applyAlignment="1">
      <alignment horizontal="center" wrapText="1"/>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0</xdr:row>
      <xdr:rowOff>45082</xdr:rowOff>
    </xdr:from>
    <xdr:to>
      <xdr:col>1</xdr:col>
      <xdr:colOff>2971800</xdr:colOff>
      <xdr:row>5</xdr:row>
      <xdr:rowOff>139700</xdr:rowOff>
    </xdr:to>
    <xdr:pic>
      <xdr:nvPicPr>
        <xdr:cNvPr id="2" name="Imagen 1" descr="ETSI de Telecomunicación: Imagen corporativa">
          <a:extLst>
            <a:ext uri="{FF2B5EF4-FFF2-40B4-BE49-F238E27FC236}">
              <a16:creationId xmlns:a16="http://schemas.microsoft.com/office/drawing/2014/main" id="{94E7363A-B155-0A45-B888-4E86A90966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45082"/>
          <a:ext cx="2959100" cy="920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665018</xdr:colOff>
      <xdr:row>2</xdr:row>
      <xdr:rowOff>4358</xdr:rowOff>
    </xdr:from>
    <xdr:to>
      <xdr:col>11</xdr:col>
      <xdr:colOff>276690</xdr:colOff>
      <xdr:row>17</xdr:row>
      <xdr:rowOff>22589</xdr:rowOff>
    </xdr:to>
    <xdr:pic>
      <xdr:nvPicPr>
        <xdr:cNvPr id="2" name="Imagen 1">
          <a:extLst>
            <a:ext uri="{FF2B5EF4-FFF2-40B4-BE49-F238E27FC236}">
              <a16:creationId xmlns:a16="http://schemas.microsoft.com/office/drawing/2014/main" id="{FCB15E9A-5E63-AD7B-1D8B-9BDFDCEBD252}"/>
            </a:ext>
          </a:extLst>
        </xdr:cNvPr>
        <xdr:cNvPicPr>
          <a:picLocks noChangeAspect="1"/>
        </xdr:cNvPicPr>
      </xdr:nvPicPr>
      <xdr:blipFill>
        <a:blip xmlns:r="http://schemas.openxmlformats.org/officeDocument/2006/relationships" r:embed="rId1"/>
        <a:stretch>
          <a:fillRect/>
        </a:stretch>
      </xdr:blipFill>
      <xdr:spPr>
        <a:xfrm>
          <a:off x="5403273" y="336867"/>
          <a:ext cx="3560217" cy="2512049"/>
        </a:xfrm>
        <a:prstGeom prst="rect">
          <a:avLst/>
        </a:prstGeom>
      </xdr:spPr>
    </xdr:pic>
    <xdr:clientData/>
  </xdr:twoCellAnchor>
  <xdr:twoCellAnchor editAs="oneCell">
    <xdr:from>
      <xdr:col>2</xdr:col>
      <xdr:colOff>533400</xdr:colOff>
      <xdr:row>27</xdr:row>
      <xdr:rowOff>47214</xdr:rowOff>
    </xdr:from>
    <xdr:to>
      <xdr:col>8</xdr:col>
      <xdr:colOff>122540</xdr:colOff>
      <xdr:row>34</xdr:row>
      <xdr:rowOff>79160</xdr:rowOff>
    </xdr:to>
    <xdr:pic>
      <xdr:nvPicPr>
        <xdr:cNvPr id="3" name="Imagen 2">
          <a:extLst>
            <a:ext uri="{FF2B5EF4-FFF2-40B4-BE49-F238E27FC236}">
              <a16:creationId xmlns:a16="http://schemas.microsoft.com/office/drawing/2014/main" id="{337EDD0B-34BA-51F7-B3A1-AEB161CFD36F}"/>
            </a:ext>
          </a:extLst>
        </xdr:cNvPr>
        <xdr:cNvPicPr>
          <a:picLocks noChangeAspect="1"/>
        </xdr:cNvPicPr>
      </xdr:nvPicPr>
      <xdr:blipFill>
        <a:blip xmlns:r="http://schemas.openxmlformats.org/officeDocument/2006/relationships" r:embed="rId2"/>
        <a:stretch>
          <a:fillRect/>
        </a:stretch>
      </xdr:blipFill>
      <xdr:spPr>
        <a:xfrm>
          <a:off x="2112818" y="4536087"/>
          <a:ext cx="4327395" cy="1195728"/>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cnmc.es/expedientes/waccdtsa0092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ovistar.es/particulares/internet/adsl-fibra-optica/banda-ancha-servicio-univers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3166-D9FD-6E4D-BCD6-79C5884AAA94}">
  <dimension ref="B8:B20"/>
  <sheetViews>
    <sheetView showGridLines="0" topLeftCell="A7" workbookViewId="0">
      <selection activeCell="D19" sqref="D19"/>
    </sheetView>
  </sheetViews>
  <sheetFormatPr baseColWidth="10" defaultRowHeight="13.2"/>
  <cols>
    <col min="2" max="2" width="87.33203125" customWidth="1"/>
  </cols>
  <sheetData>
    <row r="8" spans="2:2" ht="21">
      <c r="B8" s="42" t="s">
        <v>80</v>
      </c>
    </row>
    <row r="9" spans="2:2" ht="21">
      <c r="B9" s="42" t="s">
        <v>81</v>
      </c>
    </row>
    <row r="11" spans="2:2" ht="15.6">
      <c r="B11" s="40" t="s">
        <v>164</v>
      </c>
    </row>
    <row r="13" spans="2:2" ht="17.399999999999999">
      <c r="B13" s="43" t="s">
        <v>74</v>
      </c>
    </row>
    <row r="15" spans="2:2" ht="15.6">
      <c r="B15" s="40" t="s">
        <v>75</v>
      </c>
    </row>
    <row r="17" spans="2:2" ht="45">
      <c r="B17" s="41" t="s">
        <v>76</v>
      </c>
    </row>
    <row r="18" spans="2:2" ht="15">
      <c r="B18" s="41" t="s">
        <v>77</v>
      </c>
    </row>
    <row r="19" spans="2:2" ht="45">
      <c r="B19" s="41" t="s">
        <v>78</v>
      </c>
    </row>
    <row r="20" spans="2:2" ht="15">
      <c r="B20" s="41" t="s">
        <v>79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AF9-CCF0-704F-967A-5503FE23A36E}">
  <dimension ref="B2:E21"/>
  <sheetViews>
    <sheetView workbookViewId="0">
      <selection activeCell="D12" sqref="D12"/>
    </sheetView>
  </sheetViews>
  <sheetFormatPr baseColWidth="10" defaultColWidth="10.77734375" defaultRowHeight="13.2"/>
  <cols>
    <col min="1" max="1" width="10.77734375" style="26"/>
    <col min="2" max="2" width="23.109375" style="26" customWidth="1"/>
    <col min="3" max="16384" width="10.77734375" style="26"/>
  </cols>
  <sheetData>
    <row r="2" spans="2:3" ht="21">
      <c r="B2" s="32" t="s">
        <v>18</v>
      </c>
    </row>
    <row r="3" spans="2:3">
      <c r="B3" s="27"/>
    </row>
    <row r="4" spans="2:3">
      <c r="B4" s="29"/>
      <c r="C4" s="28" t="s">
        <v>26</v>
      </c>
    </row>
    <row r="5" spans="2:3">
      <c r="B5" s="45" t="s">
        <v>19</v>
      </c>
      <c r="C5" s="46">
        <v>1.81</v>
      </c>
    </row>
    <row r="6" spans="2:3">
      <c r="B6" s="45" t="s">
        <v>20</v>
      </c>
      <c r="C6" s="47">
        <v>5.8000000000000003E-2</v>
      </c>
    </row>
    <row r="7" spans="2:3">
      <c r="B7" s="45" t="s">
        <v>21</v>
      </c>
      <c r="C7" s="47">
        <v>2.4E-2</v>
      </c>
    </row>
    <row r="8" spans="2:3">
      <c r="B8" s="45" t="s">
        <v>22</v>
      </c>
      <c r="C8" s="47">
        <v>4.1000000000000002E-2</v>
      </c>
    </row>
    <row r="9" spans="2:3">
      <c r="B9" s="45" t="s">
        <v>23</v>
      </c>
      <c r="C9" s="48">
        <v>5.8000000000000003E-2</v>
      </c>
    </row>
    <row r="10" spans="2:3">
      <c r="B10" s="45" t="s">
        <v>24</v>
      </c>
      <c r="C10" s="47">
        <v>0.26</v>
      </c>
    </row>
    <row r="11" spans="2:3">
      <c r="B11" s="45" t="s">
        <v>25</v>
      </c>
      <c r="C11" s="47">
        <v>0.67500000000000004</v>
      </c>
    </row>
    <row r="12" spans="2:3">
      <c r="C12" s="30"/>
    </row>
    <row r="14" spans="2:3">
      <c r="B14" s="49" t="s">
        <v>92</v>
      </c>
      <c r="C14" s="76">
        <f>C7+C5*C6+C8</f>
        <v>0.16998000000000002</v>
      </c>
    </row>
    <row r="15" spans="2:3">
      <c r="B15" s="49" t="s">
        <v>93</v>
      </c>
      <c r="C15" s="77">
        <f>C9</f>
        <v>5.8000000000000003E-2</v>
      </c>
    </row>
    <row r="16" spans="2:3">
      <c r="B16" s="49" t="s">
        <v>95</v>
      </c>
      <c r="C16" s="77">
        <f>C15*(1-C10)</f>
        <v>4.292E-2</v>
      </c>
    </row>
    <row r="17" spans="2:5">
      <c r="B17" s="31"/>
    </row>
    <row r="18" spans="2:5" ht="26.4">
      <c r="B18" s="45"/>
      <c r="C18" s="50" t="s">
        <v>26</v>
      </c>
      <c r="D18" s="50" t="s">
        <v>94</v>
      </c>
      <c r="E18" s="50" t="s">
        <v>96</v>
      </c>
    </row>
    <row r="19" spans="2:5">
      <c r="B19" s="45" t="str">
        <f>B14</f>
        <v>Ke</v>
      </c>
      <c r="C19" s="48">
        <f>C14</f>
        <v>0.16998000000000002</v>
      </c>
      <c r="D19" s="76">
        <f>1-C11</f>
        <v>0.32499999999999996</v>
      </c>
      <c r="E19" s="77">
        <f>C19*D19</f>
        <v>5.5243500000000001E-2</v>
      </c>
    </row>
    <row r="20" spans="2:5">
      <c r="B20" s="45" t="str">
        <f>B16</f>
        <v>Kd after tax</v>
      </c>
      <c r="C20" s="48">
        <f>C16</f>
        <v>4.292E-2</v>
      </c>
      <c r="D20" s="76">
        <f>C11</f>
        <v>0.67500000000000004</v>
      </c>
      <c r="E20" s="77">
        <f>C20*D20</f>
        <v>2.8971E-2</v>
      </c>
    </row>
    <row r="21" spans="2:5">
      <c r="D21" s="51" t="s">
        <v>9</v>
      </c>
      <c r="E21" s="52">
        <f>E19+E20</f>
        <v>8.4214499999999998E-2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42A4-29CF-4E44-82AB-AB5A9B05895A}">
  <dimension ref="B3:D33"/>
  <sheetViews>
    <sheetView zoomScale="110" zoomScaleNormal="110" workbookViewId="0">
      <selection activeCell="C32" sqref="C32"/>
    </sheetView>
  </sheetViews>
  <sheetFormatPr baseColWidth="10" defaultRowHeight="13.2"/>
  <sheetData>
    <row r="3" spans="2:4">
      <c r="B3" s="2" t="s">
        <v>49</v>
      </c>
      <c r="C3" s="6" t="s">
        <v>28</v>
      </c>
      <c r="D3" s="6" t="s">
        <v>29</v>
      </c>
    </row>
    <row r="4" spans="2:4">
      <c r="C4" s="1">
        <v>0.16200000000000001</v>
      </c>
      <c r="D4" s="1">
        <v>0.183</v>
      </c>
    </row>
    <row r="5" spans="2:4">
      <c r="C5" s="13"/>
      <c r="D5" s="13"/>
    </row>
    <row r="6" spans="2:4">
      <c r="B6" s="14"/>
    </row>
    <row r="7" spans="2:4">
      <c r="B7" s="2" t="s">
        <v>48</v>
      </c>
      <c r="C7" s="15" t="s">
        <v>30</v>
      </c>
    </row>
    <row r="8" spans="2:4">
      <c r="B8" t="s">
        <v>82</v>
      </c>
      <c r="C8" s="1"/>
    </row>
    <row r="10" spans="2:4">
      <c r="B10" t="s">
        <v>170</v>
      </c>
      <c r="D10" s="79">
        <v>2.1600000000000001E-2</v>
      </c>
    </row>
    <row r="11" spans="2:4">
      <c r="B11" t="s">
        <v>92</v>
      </c>
      <c r="D11" s="79">
        <f>1.01%+0.71*5.5%</f>
        <v>4.9149999999999999E-2</v>
      </c>
    </row>
    <row r="12" spans="2:4">
      <c r="B12" t="s">
        <v>171</v>
      </c>
      <c r="D12" s="1">
        <v>3.6200000000000003E-2</v>
      </c>
    </row>
    <row r="13" spans="2:4">
      <c r="B13" t="s">
        <v>172</v>
      </c>
      <c r="D13" s="1">
        <v>4.82E-2</v>
      </c>
    </row>
    <row r="17" spans="2:3">
      <c r="B17" t="s">
        <v>175</v>
      </c>
    </row>
    <row r="18" spans="2:3">
      <c r="B18" t="s">
        <v>174</v>
      </c>
    </row>
    <row r="19" spans="2:3">
      <c r="B19" t="s">
        <v>173</v>
      </c>
      <c r="C19" s="78">
        <f>'Sit 01'!C14</f>
        <v>0.16998000000000002</v>
      </c>
    </row>
    <row r="20" spans="2:3">
      <c r="B20" t="str">
        <f>C3</f>
        <v>VCM</v>
      </c>
      <c r="C20" s="16">
        <f>C4</f>
        <v>0.16200000000000001</v>
      </c>
    </row>
    <row r="21" spans="2:3">
      <c r="B21" t="str">
        <f>D3</f>
        <v>GSF</v>
      </c>
      <c r="C21" s="80">
        <f>D4</f>
        <v>0.183</v>
      </c>
    </row>
    <row r="22" spans="2:3">
      <c r="B22" t="s">
        <v>177</v>
      </c>
    </row>
    <row r="23" spans="2:3">
      <c r="B23" t="s">
        <v>28</v>
      </c>
      <c r="C23" t="s">
        <v>176</v>
      </c>
    </row>
    <row r="24" spans="2:3">
      <c r="B24" t="s">
        <v>29</v>
      </c>
      <c r="C24" t="s">
        <v>179</v>
      </c>
    </row>
    <row r="25" spans="2:3">
      <c r="C25" t="s">
        <v>178</v>
      </c>
    </row>
    <row r="26" spans="2:3">
      <c r="C26" s="81"/>
    </row>
    <row r="27" spans="2:3">
      <c r="C27" s="81"/>
    </row>
    <row r="28" spans="2:3">
      <c r="C28" s="81"/>
    </row>
    <row r="29" spans="2:3">
      <c r="C29" s="81"/>
    </row>
    <row r="30" spans="2:3">
      <c r="C30" s="81"/>
    </row>
    <row r="33" spans="3:3">
      <c r="C33" s="8"/>
    </row>
  </sheetData>
  <hyperlinks>
    <hyperlink ref="C7" r:id="rId1" xr:uid="{76C97703-077E-1645-AFB5-5651D1B1AD1D}"/>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B248-59F9-3B46-B6C7-7C49AFAC64C8}">
  <dimension ref="B3:H48"/>
  <sheetViews>
    <sheetView topLeftCell="B37" zoomScale="124" zoomScaleNormal="66" workbookViewId="0">
      <selection activeCell="K41" sqref="K41"/>
    </sheetView>
  </sheetViews>
  <sheetFormatPr baseColWidth="10" defaultRowHeight="13.2"/>
  <cols>
    <col min="2" max="2" width="24.77734375" customWidth="1"/>
    <col min="3" max="3" width="10" customWidth="1"/>
    <col min="4" max="4" width="12" customWidth="1"/>
    <col min="5" max="7" width="11.109375" bestFit="1" customWidth="1"/>
  </cols>
  <sheetData>
    <row r="3" spans="2:8">
      <c r="B3" t="s">
        <v>3</v>
      </c>
      <c r="C3">
        <v>50</v>
      </c>
    </row>
    <row r="4" spans="2:8">
      <c r="B4" t="s">
        <v>0</v>
      </c>
      <c r="C4" s="16">
        <v>2.5000000000000001E-2</v>
      </c>
    </row>
    <row r="5" spans="2:8">
      <c r="B5" t="s">
        <v>1</v>
      </c>
      <c r="C5" s="14">
        <v>4</v>
      </c>
    </row>
    <row r="6" spans="2:8">
      <c r="B6" t="s">
        <v>2</v>
      </c>
      <c r="C6" s="82">
        <v>50</v>
      </c>
      <c r="D6">
        <f>C6*(1+$C$4)</f>
        <v>51.249999999999993</v>
      </c>
      <c r="E6">
        <f>D6*(1+$C$4)</f>
        <v>52.531249999999986</v>
      </c>
      <c r="F6">
        <f>E6*(1+$C$4)</f>
        <v>53.844531249999982</v>
      </c>
    </row>
    <row r="7" spans="2:8">
      <c r="B7" t="s">
        <v>9</v>
      </c>
      <c r="C7" s="1">
        <f>'Sit 01'!E21</f>
        <v>8.4214499999999998E-2</v>
      </c>
    </row>
    <row r="9" spans="2:8">
      <c r="B9" s="17" t="s">
        <v>7</v>
      </c>
      <c r="C9" s="17">
        <v>0</v>
      </c>
      <c r="D9" s="17">
        <v>1</v>
      </c>
      <c r="E9" s="17">
        <v>2</v>
      </c>
      <c r="F9" s="17">
        <v>3</v>
      </c>
      <c r="G9" s="17">
        <v>4</v>
      </c>
      <c r="H9" s="17">
        <v>5</v>
      </c>
    </row>
    <row r="10" spans="2:8">
      <c r="B10" t="s">
        <v>5</v>
      </c>
      <c r="C10">
        <v>0</v>
      </c>
    </row>
    <row r="11" spans="2:8">
      <c r="B11" t="s">
        <v>6</v>
      </c>
      <c r="E11" s="3"/>
      <c r="F11" s="3"/>
      <c r="G11" s="3"/>
      <c r="H11" s="3"/>
    </row>
    <row r="12" spans="2:8">
      <c r="B12" s="2" t="s">
        <v>31</v>
      </c>
      <c r="D12" s="7">
        <f>-C6</f>
        <v>-50</v>
      </c>
      <c r="E12" s="7">
        <f>-D6</f>
        <v>-51.249999999999993</v>
      </c>
      <c r="F12" s="7">
        <f>-E6</f>
        <v>-52.531249999999986</v>
      </c>
      <c r="G12" s="7">
        <f>-F6</f>
        <v>-53.844531249999982</v>
      </c>
      <c r="H12" s="7">
        <f>-G6</f>
        <v>0</v>
      </c>
    </row>
    <row r="13" spans="2:8">
      <c r="B13" s="2" t="s">
        <v>83</v>
      </c>
      <c r="C13" s="4"/>
      <c r="D13" s="83">
        <f>NPV($C$7, D12:G12)</f>
        <v>-169.89616190095097</v>
      </c>
      <c r="E13" s="83">
        <f>NPV($C$7, E12:H12)</f>
        <v>-134.20388222735866</v>
      </c>
      <c r="F13" s="83">
        <f>NPV($C$7, F12:I12)</f>
        <v>-94.255795067194583</v>
      </c>
      <c r="G13" s="83">
        <f>NPV($C$7, G12:J12)</f>
        <v>-49.662249720880858</v>
      </c>
      <c r="H13" s="83">
        <f>NPV($C$7, H12:K12)</f>
        <v>0</v>
      </c>
    </row>
    <row r="15" spans="2:8">
      <c r="B15" s="17" t="s">
        <v>4</v>
      </c>
      <c r="C15" s="17">
        <v>0</v>
      </c>
      <c r="D15" s="17">
        <v>1</v>
      </c>
      <c r="E15" s="17">
        <v>2</v>
      </c>
      <c r="F15" s="17">
        <v>3</v>
      </c>
      <c r="G15" s="17">
        <v>4</v>
      </c>
      <c r="H15" s="17">
        <v>4</v>
      </c>
    </row>
    <row r="16" spans="2:8">
      <c r="B16" t="s">
        <v>5</v>
      </c>
      <c r="C16">
        <v>45</v>
      </c>
    </row>
    <row r="17" spans="2:8">
      <c r="B17" t="s">
        <v>6</v>
      </c>
      <c r="D17">
        <v>35</v>
      </c>
      <c r="E17">
        <v>35</v>
      </c>
      <c r="F17">
        <v>35</v>
      </c>
      <c r="G17">
        <v>35</v>
      </c>
      <c r="H17">
        <v>35</v>
      </c>
    </row>
    <row r="18" spans="2:8">
      <c r="B18" s="2" t="s">
        <v>32</v>
      </c>
      <c r="C18" s="7">
        <f>-SUM(C16:C17)</f>
        <v>-45</v>
      </c>
      <c r="D18" s="7">
        <f>-SUM(D16:D17)</f>
        <v>-35</v>
      </c>
      <c r="E18" s="7">
        <f>-SUM(E16:E17)</f>
        <v>-35</v>
      </c>
      <c r="F18" s="7">
        <f>-SUM(F16:F17)</f>
        <v>-35</v>
      </c>
      <c r="G18" s="7">
        <f>-SUM(G16:G17)</f>
        <v>-35</v>
      </c>
      <c r="H18" s="7">
        <f>-SUM(H16:H17)</f>
        <v>-35</v>
      </c>
    </row>
    <row r="19" spans="2:8">
      <c r="B19" s="2" t="s">
        <v>84</v>
      </c>
      <c r="C19" s="4"/>
      <c r="D19" s="83">
        <f>+C18+NPV($C$7, D18:G18)</f>
        <v>-159.84521603559477</v>
      </c>
      <c r="E19" s="83">
        <f>+D18+NPV($C$7, E18:H18)</f>
        <v>-149.84521603559477</v>
      </c>
      <c r="F19" s="83">
        <f>+E18+NPV($C$7, F18:I18)</f>
        <v>-124.51684848142438</v>
      </c>
      <c r="G19" s="83">
        <f>+F18+NPV($C$7, G18:J18)</f>
        <v>-97.055465117863292</v>
      </c>
      <c r="H19" s="83">
        <f>+G18+NPV($C$7, H18:K18)</f>
        <v>-67.281435085031603</v>
      </c>
    </row>
    <row r="20" spans="2:8">
      <c r="B20" s="2" t="s">
        <v>85</v>
      </c>
      <c r="C20" s="7"/>
      <c r="D20" s="83">
        <f>D13-D19</f>
        <v>-10.050945865356198</v>
      </c>
      <c r="E20" s="83">
        <f>E13-E19</f>
        <v>15.641333808236112</v>
      </c>
      <c r="F20" s="83">
        <f>F13-F19</f>
        <v>30.261053414229792</v>
      </c>
      <c r="G20" s="83">
        <f>G13-G19</f>
        <v>47.393215396982434</v>
      </c>
      <c r="H20" s="83">
        <f>H13-H19</f>
        <v>67.281435085031603</v>
      </c>
    </row>
    <row r="22" spans="2:8">
      <c r="B22" s="17" t="s">
        <v>8</v>
      </c>
      <c r="C22" s="17">
        <v>0</v>
      </c>
      <c r="D22" s="17">
        <v>1</v>
      </c>
      <c r="E22" s="17">
        <v>2</v>
      </c>
      <c r="F22" s="17">
        <v>3</v>
      </c>
      <c r="G22" s="17">
        <v>4</v>
      </c>
      <c r="H22" s="17">
        <v>4</v>
      </c>
    </row>
    <row r="23" spans="2:8">
      <c r="B23" t="s">
        <v>5</v>
      </c>
      <c r="C23">
        <v>150</v>
      </c>
      <c r="G23">
        <v>10</v>
      </c>
      <c r="H23">
        <v>10</v>
      </c>
    </row>
    <row r="24" spans="2:8">
      <c r="B24" t="s">
        <v>6</v>
      </c>
    </row>
    <row r="25" spans="2:8">
      <c r="B25" s="2" t="s">
        <v>33</v>
      </c>
      <c r="C25" s="7">
        <f>-SUM(C23:C24)</f>
        <v>-150</v>
      </c>
      <c r="D25" s="7">
        <f>-SUM(D23:D24)</f>
        <v>0</v>
      </c>
      <c r="E25" s="7">
        <f>-SUM(E23:E24)</f>
        <v>0</v>
      </c>
      <c r="F25" s="7">
        <f>-SUM(F23:F24)</f>
        <v>0</v>
      </c>
      <c r="G25" s="7">
        <f>-SUM(G23:G24)</f>
        <v>-10</v>
      </c>
      <c r="H25" s="7">
        <f>-SUM(H23:H24)</f>
        <v>-10</v>
      </c>
    </row>
    <row r="26" spans="2:8">
      <c r="B26" s="2" t="s">
        <v>86</v>
      </c>
      <c r="C26" s="4"/>
      <c r="D26" s="3">
        <f>C25+NPV($C$7,D25:G25)</f>
        <v>-157.2366764440487</v>
      </c>
      <c r="E26" s="3">
        <f>D25+NPV($C$7,E25:H25)</f>
        <v>-15.082785976494705</v>
      </c>
      <c r="F26" s="3">
        <f>E25+NPV($C$7,F25:I25)</f>
        <v>-16.35297525611222</v>
      </c>
      <c r="G26" s="3">
        <f>F25+NPV($C$7,G25:J25)</f>
        <v>-17.730132890818087</v>
      </c>
      <c r="H26" s="3">
        <f>G25+NPV($C$7,H25:K25)</f>
        <v>-19.223267167151889</v>
      </c>
    </row>
    <row r="27" spans="2:8">
      <c r="B27" s="2" t="s">
        <v>87</v>
      </c>
      <c r="C27" s="7"/>
      <c r="D27" s="83">
        <f>D13-D26</f>
        <v>-12.659485456902274</v>
      </c>
      <c r="E27" s="83">
        <f>E13-E26</f>
        <v>-119.12109625086396</v>
      </c>
      <c r="F27" s="83">
        <f>F13-F26</f>
        <v>-77.902819811082367</v>
      </c>
      <c r="G27" s="83">
        <f>G13-G26</f>
        <v>-31.932116830062771</v>
      </c>
      <c r="H27" s="83">
        <f>H13-H26</f>
        <v>19.223267167151889</v>
      </c>
    </row>
    <row r="29" spans="2:8">
      <c r="B29" s="17" t="s">
        <v>10</v>
      </c>
      <c r="C29" s="17">
        <v>0</v>
      </c>
      <c r="D29" s="17">
        <v>1</v>
      </c>
      <c r="E29" s="17">
        <v>2</v>
      </c>
      <c r="F29" s="17">
        <v>3</v>
      </c>
      <c r="G29" s="17">
        <v>4</v>
      </c>
      <c r="H29" s="17">
        <v>4</v>
      </c>
    </row>
    <row r="30" spans="2:8">
      <c r="B30" t="s">
        <v>5</v>
      </c>
      <c r="G30">
        <v>210</v>
      </c>
      <c r="H30">
        <v>210</v>
      </c>
    </row>
    <row r="31" spans="2:8">
      <c r="B31" t="s">
        <v>6</v>
      </c>
    </row>
    <row r="32" spans="2:8">
      <c r="B32" s="2" t="s">
        <v>34</v>
      </c>
      <c r="C32" s="7">
        <f>-SUM(C30:C31)</f>
        <v>0</v>
      </c>
      <c r="D32" s="7">
        <f>-SUM(D30:D31)</f>
        <v>0</v>
      </c>
      <c r="E32" s="7">
        <f>-SUM(E30:E31)</f>
        <v>0</v>
      </c>
      <c r="F32" s="7">
        <f>-SUM(F30:F31)</f>
        <v>0</v>
      </c>
      <c r="G32" s="7">
        <f>-SUM(G30:G31)</f>
        <v>-210</v>
      </c>
      <c r="H32" s="7">
        <f>-SUM(H30:H31)</f>
        <v>-210</v>
      </c>
    </row>
    <row r="33" spans="2:8">
      <c r="B33" s="2" t="s">
        <v>88</v>
      </c>
      <c r="C33" s="4"/>
      <c r="D33" s="83">
        <f>NPV($C$7,D32:G32)</f>
        <v>-151.97020532502236</v>
      </c>
      <c r="E33" s="83">
        <f>NPV($C$7,E32:H32)</f>
        <v>-316.73850550638883</v>
      </c>
      <c r="F33" s="83">
        <f>NPV($C$7,F32:I32)</f>
        <v>-343.41248037835669</v>
      </c>
      <c r="G33" s="83">
        <f>NPV($C$7,G32:J32)</f>
        <v>-372.33279070717981</v>
      </c>
      <c r="H33" s="83">
        <f>NPV($C$7,H32:K32)</f>
        <v>-193.68861051018962</v>
      </c>
    </row>
    <row r="34" spans="2:8">
      <c r="B34" s="2" t="s">
        <v>89</v>
      </c>
      <c r="C34" s="7"/>
      <c r="D34" s="83">
        <f>D13-D33</f>
        <v>-17.925956575928609</v>
      </c>
      <c r="E34" s="83">
        <f>E13-E33</f>
        <v>182.53462327903017</v>
      </c>
      <c r="F34" s="83">
        <f>F13-F33</f>
        <v>249.15668531116211</v>
      </c>
      <c r="G34" s="83">
        <f>G13-G33</f>
        <v>322.67054098629893</v>
      </c>
      <c r="H34" s="83">
        <f>H13-H33</f>
        <v>193.68861051018962</v>
      </c>
    </row>
    <row r="36" spans="2:8">
      <c r="B36" s="17" t="s">
        <v>37</v>
      </c>
      <c r="C36" s="17">
        <v>0</v>
      </c>
      <c r="D36" s="17">
        <v>1</v>
      </c>
      <c r="E36" s="17">
        <v>2</v>
      </c>
      <c r="F36" s="17">
        <v>3</v>
      </c>
      <c r="G36" s="17">
        <v>4</v>
      </c>
      <c r="H36" s="17">
        <v>4</v>
      </c>
    </row>
    <row r="37" spans="2:8">
      <c r="B37" t="s">
        <v>5</v>
      </c>
    </row>
    <row r="38" spans="2:8">
      <c r="B38" t="s">
        <v>6</v>
      </c>
      <c r="D38">
        <v>48</v>
      </c>
      <c r="E38">
        <v>48</v>
      </c>
      <c r="F38">
        <v>48</v>
      </c>
      <c r="G38">
        <v>48</v>
      </c>
      <c r="H38">
        <v>48</v>
      </c>
    </row>
    <row r="39" spans="2:8">
      <c r="B39" s="2" t="s">
        <v>35</v>
      </c>
      <c r="C39" s="7">
        <f>-SUM(C37:C38)</f>
        <v>0</v>
      </c>
      <c r="D39" s="7">
        <f>-SUM(D37:D38)</f>
        <v>-48</v>
      </c>
      <c r="E39" s="7">
        <f>-SUM(E37:E38)</f>
        <v>-48</v>
      </c>
      <c r="F39" s="7">
        <f>-SUM(F37:F38)</f>
        <v>-48</v>
      </c>
      <c r="G39" s="7">
        <f>-SUM(G37:G38)</f>
        <v>-48</v>
      </c>
      <c r="H39" s="7">
        <f>-SUM(H37:H38)</f>
        <v>-48</v>
      </c>
    </row>
    <row r="40" spans="2:8">
      <c r="B40" s="2" t="s">
        <v>90</v>
      </c>
      <c r="C40" s="4"/>
      <c r="D40" s="83">
        <f>NPV($C$7,D39:G39)</f>
        <v>-157.50201056310141</v>
      </c>
      <c r="E40" s="83">
        <f>NPV($C$7,E39:H39)</f>
        <v>-157.50201056310141</v>
      </c>
      <c r="F40" s="83">
        <f>NPV($C$7,F39:I39)</f>
        <v>-122.76596363166772</v>
      </c>
      <c r="G40" s="83">
        <f>NPV($C$7,G39:J39)</f>
        <v>-85.104637875926798</v>
      </c>
      <c r="H40" s="83">
        <f>NPV($C$7,H39:K39)</f>
        <v>-44.271682402329056</v>
      </c>
    </row>
    <row r="41" spans="2:8">
      <c r="B41" s="2" t="s">
        <v>91</v>
      </c>
      <c r="C41" s="7"/>
      <c r="D41" s="83">
        <f>D13-D40</f>
        <v>-12.394151337849564</v>
      </c>
      <c r="E41" s="83">
        <f>E13-E40</f>
        <v>23.298128335742746</v>
      </c>
      <c r="F41" s="83">
        <f>F13-F40</f>
        <v>28.510168564473133</v>
      </c>
      <c r="G41" s="83">
        <f>G13-G40</f>
        <v>35.44238815504594</v>
      </c>
      <c r="H41" s="83">
        <f>H13-H40</f>
        <v>44.271682402329056</v>
      </c>
    </row>
    <row r="43" spans="2:8">
      <c r="B43" s="53" t="s">
        <v>13</v>
      </c>
      <c r="C43" s="54" t="s">
        <v>11</v>
      </c>
      <c r="D43" s="54" t="s">
        <v>36</v>
      </c>
    </row>
    <row r="44" spans="2:8">
      <c r="B44" s="53" t="s">
        <v>83</v>
      </c>
      <c r="C44" s="44">
        <f>D13</f>
        <v>-169.89616190095097</v>
      </c>
      <c r="D44" s="44"/>
    </row>
    <row r="45" spans="2:8">
      <c r="B45" s="53" t="s">
        <v>84</v>
      </c>
      <c r="C45" s="44">
        <f>D19</f>
        <v>-159.84521603559477</v>
      </c>
      <c r="D45" s="44">
        <f>C45-$C$44</f>
        <v>10.050945865356198</v>
      </c>
    </row>
    <row r="46" spans="2:8">
      <c r="B46" s="53" t="s">
        <v>86</v>
      </c>
      <c r="C46" s="44">
        <f>D26</f>
        <v>-157.2366764440487</v>
      </c>
      <c r="D46" s="44">
        <f>C46-$C$44</f>
        <v>12.659485456902274</v>
      </c>
    </row>
    <row r="47" spans="2:8">
      <c r="B47" s="53" t="s">
        <v>88</v>
      </c>
      <c r="C47" s="44">
        <f>D33</f>
        <v>-151.97020532502236</v>
      </c>
      <c r="D47" s="44">
        <f>C47-$C$44</f>
        <v>17.925956575928609</v>
      </c>
    </row>
    <row r="48" spans="2:8">
      <c r="B48" s="53" t="s">
        <v>90</v>
      </c>
      <c r="C48" s="44">
        <f>D40</f>
        <v>-157.50201056310141</v>
      </c>
      <c r="D48" s="44">
        <f>C48-$C$44</f>
        <v>12.394151337849564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B43B-2CA0-E045-A2E3-E81928BB49F6}">
  <dimension ref="B2:H31"/>
  <sheetViews>
    <sheetView zoomScale="110" workbookViewId="0">
      <selection activeCell="C5" sqref="C5"/>
    </sheetView>
  </sheetViews>
  <sheetFormatPr baseColWidth="10" defaultRowHeight="13.2"/>
  <cols>
    <col min="2" max="2" width="39.77734375" bestFit="1" customWidth="1"/>
  </cols>
  <sheetData>
    <row r="2" spans="2:8">
      <c r="B2" s="2" t="s">
        <v>38</v>
      </c>
      <c r="C2" s="2"/>
      <c r="D2" s="2"/>
      <c r="E2" s="2"/>
      <c r="F2" s="2"/>
      <c r="G2" s="2"/>
    </row>
    <row r="3" spans="2:8">
      <c r="B3" s="2"/>
      <c r="C3" s="7"/>
      <c r="D3" s="7"/>
      <c r="E3" s="7"/>
      <c r="F3" s="7"/>
      <c r="G3" s="7"/>
    </row>
    <row r="4" spans="2:8">
      <c r="B4" s="17" t="s">
        <v>165</v>
      </c>
      <c r="C4" s="17">
        <f>-$C$10</f>
        <v>-8.6115310961736551</v>
      </c>
      <c r="D4" s="17">
        <v>2.6244331176377571</v>
      </c>
      <c r="E4" s="17">
        <v>2.6244331176377642</v>
      </c>
      <c r="F4" s="17">
        <v>2.6244331176377571</v>
      </c>
      <c r="G4" s="17">
        <v>2.6244331176377571</v>
      </c>
    </row>
    <row r="5" spans="2:8">
      <c r="B5" t="s">
        <v>149</v>
      </c>
      <c r="C5" s="84">
        <f>PMT($C$11,4,-$C$10)</f>
        <v>2.6244331176377576</v>
      </c>
    </row>
    <row r="6" spans="2:8">
      <c r="B6" t="s">
        <v>166</v>
      </c>
      <c r="C6" s="83">
        <f>NPV($C$11,D4:G4)</f>
        <v>8.6115310961736551</v>
      </c>
    </row>
    <row r="7" spans="2:8">
      <c r="B7" t="s">
        <v>167</v>
      </c>
      <c r="C7" s="1">
        <f>IRR(C4:G4)</f>
        <v>8.4214499999997861E-2</v>
      </c>
    </row>
    <row r="8" spans="2:8">
      <c r="B8" s="2">
        <v>0</v>
      </c>
      <c r="C8" s="2"/>
      <c r="D8" s="2"/>
      <c r="E8" s="2"/>
      <c r="F8" s="2"/>
      <c r="G8" s="2"/>
    </row>
    <row r="9" spans="2:8">
      <c r="B9" s="2" t="s">
        <v>168</v>
      </c>
      <c r="C9" s="71"/>
    </row>
    <row r="10" spans="2:8">
      <c r="B10" s="2" t="s">
        <v>45</v>
      </c>
      <c r="C10" s="88">
        <f>NPV($C$11,D4:G4)</f>
        <v>8.6115310961736551</v>
      </c>
    </row>
    <row r="11" spans="2:8">
      <c r="B11" t="s">
        <v>9</v>
      </c>
      <c r="C11" s="1">
        <f>'Sit 01'!E21</f>
        <v>8.4214499999999998E-2</v>
      </c>
    </row>
    <row r="13" spans="2:8">
      <c r="C13" s="6"/>
      <c r="D13" s="6"/>
      <c r="E13" s="6"/>
      <c r="F13" s="6"/>
      <c r="G13" s="6"/>
      <c r="H13" s="6"/>
    </row>
    <row r="14" spans="2:8">
      <c r="B14" s="2" t="s">
        <v>155</v>
      </c>
      <c r="C14" s="72">
        <f>C4</f>
        <v>-8.6115310961736551</v>
      </c>
      <c r="D14" s="72">
        <f>D4</f>
        <v>2.6244331176377571</v>
      </c>
      <c r="E14" s="72">
        <f>E4</f>
        <v>2.6244331176377642</v>
      </c>
      <c r="F14" s="72">
        <f>F4</f>
        <v>2.6244331176377571</v>
      </c>
      <c r="G14" s="72">
        <f>G4</f>
        <v>2.6244331176377571</v>
      </c>
      <c r="H14" s="73"/>
    </row>
    <row r="15" spans="2:8">
      <c r="B15" t="s">
        <v>156</v>
      </c>
      <c r="C15" s="12"/>
      <c r="D15" s="12"/>
      <c r="E15" s="12"/>
      <c r="F15" s="12"/>
      <c r="G15" s="74">
        <f>D4*(1+$C$11)^(4-1)</f>
        <v>3.344884629490497</v>
      </c>
    </row>
    <row r="16" spans="2:8">
      <c r="B16" t="s">
        <v>157</v>
      </c>
      <c r="C16" s="12"/>
      <c r="D16" s="12"/>
      <c r="E16" s="12"/>
      <c r="F16" s="12"/>
      <c r="G16" s="74">
        <f>E4*(1+$C$11)^(4-2)</f>
        <v>3.0850764581090786</v>
      </c>
    </row>
    <row r="17" spans="2:8">
      <c r="B17" t="s">
        <v>158</v>
      </c>
      <c r="C17" s="12"/>
      <c r="D17" s="12"/>
      <c r="E17" s="12"/>
      <c r="F17" s="12"/>
      <c r="G17" s="74">
        <f>F4*(1+$C$11)^(4-3)</f>
        <v>2.8454484404230622</v>
      </c>
    </row>
    <row r="18" spans="2:8">
      <c r="B18" t="s">
        <v>159</v>
      </c>
      <c r="C18" s="12"/>
      <c r="D18" s="12"/>
      <c r="E18" s="12"/>
      <c r="F18" s="12"/>
      <c r="G18" s="74">
        <f>G4*(1+$C$11)^(4-4)</f>
        <v>2.6244331176377571</v>
      </c>
    </row>
    <row r="19" spans="2:8">
      <c r="C19" s="12"/>
      <c r="D19" s="12"/>
      <c r="E19" s="12"/>
      <c r="F19" s="6" t="s">
        <v>160</v>
      </c>
      <c r="G19" s="75">
        <f>SUM(G15:G18)</f>
        <v>11.899842645660396</v>
      </c>
      <c r="H19" s="85" t="s">
        <v>180</v>
      </c>
    </row>
    <row r="20" spans="2:8">
      <c r="C20" s="12"/>
      <c r="D20" s="12"/>
      <c r="E20" s="12"/>
      <c r="F20" s="12"/>
      <c r="G20" s="74"/>
      <c r="H20" s="2"/>
    </row>
    <row r="21" spans="2:8">
      <c r="C21" s="12"/>
      <c r="D21" s="12"/>
      <c r="E21" s="12"/>
      <c r="F21" s="12"/>
      <c r="G21" s="12"/>
    </row>
    <row r="22" spans="2:8">
      <c r="B22" s="2" t="s">
        <v>161</v>
      </c>
      <c r="C22" s="12"/>
      <c r="D22">
        <f>D6</f>
        <v>0</v>
      </c>
      <c r="E22">
        <f>E6</f>
        <v>0</v>
      </c>
      <c r="F22">
        <f>F6</f>
        <v>0</v>
      </c>
      <c r="G22">
        <f>G6</f>
        <v>0</v>
      </c>
    </row>
    <row r="23" spans="2:8">
      <c r="F23" s="6" t="s">
        <v>162</v>
      </c>
      <c r="G23" s="4">
        <f>SUM(D4:G4)</f>
        <v>10.497732470551036</v>
      </c>
    </row>
    <row r="24" spans="2:8">
      <c r="B24" s="2"/>
    </row>
    <row r="26" spans="2:8">
      <c r="B26" s="2" t="s">
        <v>163</v>
      </c>
    </row>
    <row r="28" spans="2:8">
      <c r="B28" s="89" t="s">
        <v>181</v>
      </c>
      <c r="C28" s="89"/>
      <c r="D28" s="89"/>
      <c r="E28" s="89"/>
      <c r="F28" s="89"/>
      <c r="G28" s="89"/>
    </row>
    <row r="29" spans="2:8">
      <c r="B29" s="89"/>
      <c r="C29" s="89"/>
      <c r="D29" s="89"/>
      <c r="E29" s="89"/>
      <c r="F29" s="89"/>
      <c r="G29" s="89"/>
    </row>
    <row r="30" spans="2:8">
      <c r="B30" s="89"/>
      <c r="C30" s="89"/>
      <c r="D30" s="89"/>
      <c r="E30" s="89"/>
      <c r="F30" s="89"/>
      <c r="G30" s="89"/>
    </row>
    <row r="31" spans="2:8">
      <c r="B31" s="89"/>
      <c r="C31" s="89"/>
      <c r="D31" s="89"/>
      <c r="E31" s="89"/>
      <c r="F31" s="89"/>
      <c r="G31" s="89"/>
    </row>
  </sheetData>
  <mergeCells count="1">
    <mergeCell ref="B28:G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D850A-FB54-A443-8B57-56B43DF36A6E}">
  <dimension ref="B3:J12"/>
  <sheetViews>
    <sheetView workbookViewId="0">
      <selection activeCell="C14" sqref="C14"/>
    </sheetView>
  </sheetViews>
  <sheetFormatPr baseColWidth="10" defaultRowHeight="13.2"/>
  <cols>
    <col min="1" max="1" width="7.44140625" customWidth="1"/>
    <col min="2" max="2" width="24.109375" customWidth="1"/>
    <col min="3" max="3" width="18.33203125" bestFit="1" customWidth="1"/>
    <col min="10" max="10" width="11.109375" bestFit="1" customWidth="1"/>
  </cols>
  <sheetData>
    <row r="3" spans="2:10">
      <c r="D3" s="5"/>
      <c r="E3" s="5">
        <v>0.08</v>
      </c>
      <c r="F3" s="5">
        <v>0.06</v>
      </c>
      <c r="G3" s="5">
        <v>0.05</v>
      </c>
      <c r="H3" s="1">
        <v>5.5E-2</v>
      </c>
      <c r="I3" s="5">
        <v>0.06</v>
      </c>
      <c r="J3" s="5">
        <v>7.0000000000000007E-2</v>
      </c>
    </row>
    <row r="4" spans="2:10">
      <c r="B4" s="2" t="s">
        <v>14</v>
      </c>
      <c r="C4" s="2">
        <v>0</v>
      </c>
      <c r="D4" s="2">
        <v>1</v>
      </c>
      <c r="E4" s="2">
        <v>2</v>
      </c>
      <c r="F4" s="2">
        <v>3</v>
      </c>
      <c r="G4" s="2">
        <v>4</v>
      </c>
      <c r="H4" s="2">
        <v>5</v>
      </c>
      <c r="I4" s="2">
        <v>6</v>
      </c>
      <c r="J4" s="2">
        <v>7</v>
      </c>
    </row>
    <row r="5" spans="2:10">
      <c r="B5" s="2" t="s">
        <v>15</v>
      </c>
      <c r="C5" s="10">
        <v>-30000</v>
      </c>
      <c r="D5" s="10"/>
      <c r="E5" s="2"/>
      <c r="F5" s="2"/>
      <c r="G5" s="2"/>
      <c r="H5" s="2"/>
      <c r="I5" s="2"/>
      <c r="J5" s="2"/>
    </row>
    <row r="6" spans="2:10">
      <c r="B6" s="2" t="s">
        <v>16</v>
      </c>
      <c r="C6" s="10"/>
      <c r="D6" s="10">
        <v>5201.7777324124809</v>
      </c>
      <c r="E6" s="10">
        <v>5617.9199510054796</v>
      </c>
      <c r="F6" s="10">
        <v>5954.9951480658083</v>
      </c>
      <c r="G6" s="10">
        <v>6252.7449054690987</v>
      </c>
      <c r="H6" s="10">
        <v>6596.6458752698991</v>
      </c>
      <c r="I6" s="10">
        <v>6992.4446277860934</v>
      </c>
      <c r="J6" s="10">
        <v>7481.9157517311205</v>
      </c>
    </row>
    <row r="7" spans="2:10">
      <c r="B7" s="2" t="s">
        <v>17</v>
      </c>
      <c r="C7" s="18">
        <f>SUM(C5:C6)</f>
        <v>-30000</v>
      </c>
      <c r="D7" s="18">
        <f t="shared" ref="D7:J7" si="0">SUM(D5:D6)</f>
        <v>5201.7777324124809</v>
      </c>
      <c r="E7" s="18">
        <f t="shared" si="0"/>
        <v>5617.9199510054796</v>
      </c>
      <c r="F7" s="18">
        <f t="shared" si="0"/>
        <v>5954.9951480658083</v>
      </c>
      <c r="G7" s="18">
        <f t="shared" si="0"/>
        <v>6252.7449054690987</v>
      </c>
      <c r="H7" s="18">
        <f t="shared" si="0"/>
        <v>6596.6458752698991</v>
      </c>
      <c r="I7" s="18">
        <f t="shared" si="0"/>
        <v>6992.4446277860934</v>
      </c>
      <c r="J7" s="18">
        <f t="shared" si="0"/>
        <v>7481.9157517311205</v>
      </c>
    </row>
    <row r="8" spans="2:10">
      <c r="B8" s="33" t="s">
        <v>187</v>
      </c>
      <c r="C8" s="34">
        <f>IRR(C7:J7)</f>
        <v>9.9990856121191962E-2</v>
      </c>
    </row>
    <row r="9" spans="2:10">
      <c r="B9" s="2" t="s">
        <v>188</v>
      </c>
      <c r="C9" s="11">
        <f>C10*1.12</f>
        <v>9.432024E-2</v>
      </c>
    </row>
    <row r="10" spans="2:10">
      <c r="B10" s="2" t="s">
        <v>186</v>
      </c>
      <c r="C10" s="11">
        <f>'Sit 01'!E21</f>
        <v>8.4214499999999998E-2</v>
      </c>
    </row>
    <row r="12" spans="2:10">
      <c r="B12" s="33" t="s">
        <v>27</v>
      </c>
      <c r="C12" s="86">
        <f>C9/C10</f>
        <v>1.1200000000000001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230A-EEA5-F047-B8F1-A89A52F28D65}">
  <dimension ref="B2:L31"/>
  <sheetViews>
    <sheetView topLeftCell="A7" workbookViewId="0">
      <selection activeCell="F15" sqref="F15"/>
    </sheetView>
  </sheetViews>
  <sheetFormatPr baseColWidth="10" defaultRowHeight="13.2"/>
  <cols>
    <col min="2" max="2" width="50.44140625" customWidth="1"/>
    <col min="4" max="4" width="12" bestFit="1" customWidth="1"/>
    <col min="12" max="12" width="13.44140625" customWidth="1"/>
  </cols>
  <sheetData>
    <row r="2" spans="2:12">
      <c r="B2" s="2" t="s">
        <v>97</v>
      </c>
      <c r="C2" s="2">
        <v>0</v>
      </c>
      <c r="D2" s="2">
        <v>1</v>
      </c>
      <c r="E2" s="2">
        <v>2</v>
      </c>
      <c r="F2" s="2">
        <v>3</v>
      </c>
      <c r="G2" s="2">
        <v>4</v>
      </c>
      <c r="H2" s="2">
        <v>5</v>
      </c>
      <c r="I2" s="2">
        <v>6</v>
      </c>
      <c r="J2" s="2">
        <v>7</v>
      </c>
    </row>
    <row r="3" spans="2:12">
      <c r="B3" s="2" t="s">
        <v>17</v>
      </c>
      <c r="C3" s="10">
        <f>'Sit 05'!C7</f>
        <v>-30000</v>
      </c>
      <c r="D3" s="10">
        <f>'Sit 05'!D7</f>
        <v>5201.7777324124809</v>
      </c>
      <c r="E3" s="10">
        <f>'Sit 05'!E7</f>
        <v>5617.9199510054796</v>
      </c>
      <c r="F3" s="10">
        <f>'Sit 05'!F7</f>
        <v>5954.9951480658083</v>
      </c>
      <c r="G3" s="10">
        <f>'Sit 05'!G7</f>
        <v>6252.7449054690987</v>
      </c>
      <c r="H3" s="10">
        <f>'Sit 05'!H7</f>
        <v>6596.6458752698991</v>
      </c>
      <c r="I3" s="10">
        <f>'Sit 05'!I7</f>
        <v>6992.4446277860934</v>
      </c>
      <c r="J3" s="10">
        <f>'Sit 05'!J7</f>
        <v>7481.9157517311205</v>
      </c>
    </row>
    <row r="4" spans="2:12">
      <c r="B4" s="2" t="s">
        <v>98</v>
      </c>
      <c r="C4" s="19"/>
      <c r="D4" s="83">
        <f>C3+NPV('Sit 05'!$C$10,'Sit 06'!D3:J3)</f>
        <v>1729.9380696785083</v>
      </c>
      <c r="E4" s="83"/>
      <c r="F4" s="83"/>
      <c r="G4" s="83"/>
      <c r="H4" s="83"/>
      <c r="I4" s="83"/>
      <c r="J4" s="83"/>
      <c r="K4" s="55" t="s">
        <v>99</v>
      </c>
    </row>
    <row r="5" spans="2:12">
      <c r="B5" s="2" t="s">
        <v>100</v>
      </c>
      <c r="D5" s="87"/>
      <c r="E5" s="87">
        <f t="shared" ref="E5:J5" si="0">E3*(1+$C$7)^(7-E2)</f>
        <v>8416.889048188119</v>
      </c>
      <c r="F5" s="87">
        <f t="shared" si="0"/>
        <v>8228.9089392176593</v>
      </c>
      <c r="G5" s="87">
        <f t="shared" si="0"/>
        <v>7969.2296922597343</v>
      </c>
      <c r="H5" s="87">
        <f t="shared" si="0"/>
        <v>7754.4962969357257</v>
      </c>
      <c r="I5" s="87">
        <f t="shared" si="0"/>
        <v>7581.3098558927859</v>
      </c>
      <c r="J5" s="87">
        <f t="shared" si="0"/>
        <v>7481.9157517311205</v>
      </c>
      <c r="K5" s="19">
        <f>SUM(D5:J5)</f>
        <v>47432.749584225145</v>
      </c>
      <c r="L5" s="2"/>
    </row>
    <row r="7" spans="2:12">
      <c r="B7" s="2" t="s">
        <v>9</v>
      </c>
      <c r="C7" s="1">
        <f>'Sit 01'!E21</f>
        <v>8.4214499999999998E-2</v>
      </c>
    </row>
    <row r="8" spans="2:12">
      <c r="B8" s="2" t="s">
        <v>101</v>
      </c>
      <c r="C8" s="1"/>
    </row>
    <row r="9" spans="2:12">
      <c r="B9" s="2" t="s">
        <v>102</v>
      </c>
      <c r="C9" s="2">
        <v>0</v>
      </c>
      <c r="D9" s="2">
        <v>1</v>
      </c>
      <c r="E9" s="2">
        <v>2</v>
      </c>
      <c r="F9" s="2">
        <v>3</v>
      </c>
      <c r="G9" s="2">
        <v>4</v>
      </c>
      <c r="H9" s="2">
        <v>5</v>
      </c>
      <c r="I9" s="2">
        <v>6</v>
      </c>
      <c r="J9" s="2">
        <v>7</v>
      </c>
    </row>
    <row r="10" spans="2:12">
      <c r="B10" s="2" t="s">
        <v>40</v>
      </c>
      <c r="C10" s="10">
        <f>C3</f>
        <v>-30000</v>
      </c>
      <c r="D10">
        <f>30000*$C$7</f>
        <v>2526.4349999999999</v>
      </c>
      <c r="E10">
        <f t="shared" ref="E10:I10" si="1">30000*$C$7</f>
        <v>2526.4349999999999</v>
      </c>
      <c r="F10">
        <f t="shared" si="1"/>
        <v>2526.4349999999999</v>
      </c>
      <c r="G10">
        <f t="shared" si="1"/>
        <v>2526.4349999999999</v>
      </c>
      <c r="H10">
        <f t="shared" si="1"/>
        <v>2526.4349999999999</v>
      </c>
      <c r="I10">
        <f t="shared" si="1"/>
        <v>2526.4349999999999</v>
      </c>
      <c r="J10">
        <f>30000*C7 + 30000</f>
        <v>32526.435000000001</v>
      </c>
      <c r="K10" s="55" t="s">
        <v>103</v>
      </c>
    </row>
    <row r="11" spans="2:12">
      <c r="B11" s="2" t="s">
        <v>39</v>
      </c>
      <c r="D11">
        <f>D10*(1+$C$7)^(7-D2)</f>
        <v>4103.9248165792214</v>
      </c>
      <c r="E11">
        <f t="shared" ref="E11:J11" si="2">E10*(1+$C$7)^(7-E2)</f>
        <v>3785.1595017214959</v>
      </c>
      <c r="F11">
        <f t="shared" si="2"/>
        <v>3491.1537354660863</v>
      </c>
      <c r="G11">
        <f t="shared" si="2"/>
        <v>3219.9843623804018</v>
      </c>
      <c r="H11">
        <f t="shared" si="2"/>
        <v>2969.8776048285663</v>
      </c>
      <c r="I11">
        <f t="shared" si="2"/>
        <v>2739.1974603075</v>
      </c>
      <c r="J11">
        <f t="shared" si="2"/>
        <v>32526.435000000001</v>
      </c>
      <c r="K11" s="19">
        <f>SUM(D11:J11)</f>
        <v>52835.732481283267</v>
      </c>
      <c r="L11" s="2"/>
    </row>
    <row r="12" spans="2:12">
      <c r="B12" s="2" t="s">
        <v>44</v>
      </c>
      <c r="C12" s="10">
        <f>SUM(C10:C11)</f>
        <v>-30000</v>
      </c>
      <c r="D12" s="10">
        <f t="shared" ref="D12:J12" si="3">SUM(D10:D10)</f>
        <v>2526.4349999999999</v>
      </c>
      <c r="E12" s="10">
        <f t="shared" si="3"/>
        <v>2526.4349999999999</v>
      </c>
      <c r="F12" s="10">
        <f t="shared" si="3"/>
        <v>2526.4349999999999</v>
      </c>
      <c r="G12" s="10">
        <f t="shared" si="3"/>
        <v>2526.4349999999999</v>
      </c>
      <c r="H12" s="10">
        <f t="shared" si="3"/>
        <v>2526.4349999999999</v>
      </c>
      <c r="I12" s="10">
        <f t="shared" si="3"/>
        <v>2526.4349999999999</v>
      </c>
      <c r="J12" s="10">
        <f t="shared" si="3"/>
        <v>32526.435000000001</v>
      </c>
    </row>
    <row r="13" spans="2:12">
      <c r="B13" s="2" t="s">
        <v>41</v>
      </c>
      <c r="C13" s="19"/>
      <c r="D13" s="10">
        <f>C10 + NPV('Sit 05'!$C$10, D10:J10)</f>
        <v>0</v>
      </c>
      <c r="K13" s="19" t="s">
        <v>104</v>
      </c>
      <c r="L13" s="2"/>
    </row>
    <row r="14" spans="2:12">
      <c r="K14" s="22">
        <f>K5-K11</f>
        <v>-5402.982897058122</v>
      </c>
    </row>
    <row r="16" spans="2:12">
      <c r="B16" s="21" t="s">
        <v>105</v>
      </c>
      <c r="C16" s="23"/>
      <c r="D16" s="23"/>
      <c r="E16" s="23"/>
      <c r="F16" s="23"/>
    </row>
    <row r="17" spans="2:10">
      <c r="B17" s="8" t="s">
        <v>42</v>
      </c>
      <c r="C17" s="10">
        <f>D4</f>
        <v>1729.9380696785083</v>
      </c>
    </row>
    <row r="18" spans="2:10">
      <c r="B18" t="s">
        <v>41</v>
      </c>
      <c r="C18" s="10">
        <f>D13</f>
        <v>0</v>
      </c>
    </row>
    <row r="19" spans="2:10">
      <c r="B19" s="21" t="s">
        <v>106</v>
      </c>
      <c r="C19" s="22">
        <f>C17-C20</f>
        <v>1729.9380696785083</v>
      </c>
    </row>
    <row r="20" spans="2:10">
      <c r="B20" s="2"/>
      <c r="C20" s="19"/>
    </row>
    <row r="21" spans="2:10">
      <c r="B21" s="2" t="s">
        <v>107</v>
      </c>
      <c r="C21" s="19"/>
      <c r="E21" s="2"/>
      <c r="F21" s="19"/>
    </row>
    <row r="22" spans="2:10">
      <c r="B22" t="s">
        <v>99</v>
      </c>
      <c r="C22" s="10">
        <f>K5</f>
        <v>47432.749584225145</v>
      </c>
      <c r="E22" s="2"/>
      <c r="F22" s="19"/>
    </row>
    <row r="23" spans="2:10">
      <c r="B23" t="s">
        <v>103</v>
      </c>
      <c r="C23" s="10">
        <f>K11</f>
        <v>52835.732481283267</v>
      </c>
      <c r="E23" s="2"/>
      <c r="F23" s="19"/>
    </row>
    <row r="24" spans="2:10">
      <c r="B24" s="35" t="s">
        <v>104</v>
      </c>
      <c r="C24" s="35">
        <f>C22-C23</f>
        <v>-5402.982897058122</v>
      </c>
      <c r="E24" s="2"/>
      <c r="F24" s="19"/>
    </row>
    <row r="25" spans="2:10">
      <c r="B25" s="21" t="s">
        <v>108</v>
      </c>
      <c r="C25" s="22"/>
      <c r="E25" s="2"/>
      <c r="F25" s="19"/>
    </row>
    <row r="26" spans="2:10">
      <c r="B26" s="2"/>
      <c r="C26" s="19"/>
      <c r="E26" s="2"/>
      <c r="F26" s="19"/>
    </row>
    <row r="27" spans="2:10">
      <c r="B27" s="21" t="s">
        <v>43</v>
      </c>
      <c r="C27" s="23"/>
      <c r="D27" s="23"/>
      <c r="E27" s="23"/>
      <c r="F27" s="23"/>
      <c r="G27" s="23"/>
    </row>
    <row r="28" spans="2:10">
      <c r="B28" s="23"/>
      <c r="C28" s="23"/>
      <c r="D28" s="23"/>
      <c r="E28" s="23"/>
      <c r="F28" s="23"/>
      <c r="G28" s="23"/>
    </row>
    <row r="29" spans="2:10">
      <c r="B29" s="23" t="s">
        <v>182</v>
      </c>
      <c r="C29" s="23"/>
      <c r="D29" s="23"/>
      <c r="E29" s="23"/>
      <c r="F29" s="23"/>
      <c r="G29" s="23"/>
    </row>
    <row r="31" spans="2:10">
      <c r="D31" s="10"/>
      <c r="E31" s="10"/>
      <c r="F31" s="10"/>
      <c r="G31" s="10"/>
      <c r="H31" s="10"/>
      <c r="I31" s="10"/>
      <c r="J31"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AC232-6C68-6B4A-9BE9-46D964A8F2EE}">
  <dimension ref="B2:J31"/>
  <sheetViews>
    <sheetView tabSelected="1" topLeftCell="A3" zoomScale="125" workbookViewId="0">
      <selection activeCell="C23" sqref="C23"/>
    </sheetView>
  </sheetViews>
  <sheetFormatPr baseColWidth="10" defaultRowHeight="13.2"/>
  <cols>
    <col min="2" max="2" width="38.77734375" customWidth="1"/>
  </cols>
  <sheetData>
    <row r="2" spans="2:10">
      <c r="B2" s="2" t="s">
        <v>47</v>
      </c>
      <c r="C2" s="2">
        <v>0</v>
      </c>
      <c r="D2" s="2">
        <v>1</v>
      </c>
      <c r="E2" s="2">
        <v>2</v>
      </c>
      <c r="F2" s="2">
        <v>3</v>
      </c>
      <c r="G2" s="2">
        <v>4</v>
      </c>
      <c r="H2" s="2">
        <v>5</v>
      </c>
      <c r="I2" s="2">
        <v>6</v>
      </c>
      <c r="J2" s="2">
        <v>7</v>
      </c>
    </row>
    <row r="3" spans="2:10">
      <c r="B3" s="2" t="s">
        <v>45</v>
      </c>
      <c r="C3" s="9">
        <v>0</v>
      </c>
      <c r="D3" s="9">
        <v>-750000</v>
      </c>
      <c r="E3" s="9">
        <v>-1250000</v>
      </c>
      <c r="F3" s="9">
        <v>-1500000</v>
      </c>
      <c r="G3" s="9">
        <v>-1000000</v>
      </c>
      <c r="H3" s="9">
        <v>-500000</v>
      </c>
      <c r="I3" s="9">
        <v>0</v>
      </c>
      <c r="J3" s="9">
        <v>0</v>
      </c>
    </row>
    <row r="4" spans="2:10">
      <c r="B4" s="2" t="s">
        <v>109</v>
      </c>
      <c r="J4" s="9">
        <v>1000000</v>
      </c>
    </row>
    <row r="5" spans="2:10">
      <c r="B5" s="2" t="s">
        <v>46</v>
      </c>
      <c r="C5" s="18">
        <v>0</v>
      </c>
      <c r="D5" s="18">
        <v>-750000</v>
      </c>
      <c r="E5" s="18">
        <v>-1250000</v>
      </c>
      <c r="F5" s="18">
        <v>-1500000</v>
      </c>
      <c r="G5" s="18">
        <v>-1000000</v>
      </c>
      <c r="H5" s="18">
        <v>-500000</v>
      </c>
      <c r="I5" s="18">
        <v>0</v>
      </c>
      <c r="J5" s="18">
        <v>1000000</v>
      </c>
    </row>
    <row r="6" spans="2:10">
      <c r="B6" s="2" t="s">
        <v>110</v>
      </c>
      <c r="C6" s="18"/>
      <c r="D6" s="9">
        <f>C5 + NPV('Sit 05'!$C$10, D5:J5)</f>
        <v>-3421618.7681861366</v>
      </c>
    </row>
    <row r="7" spans="2:10">
      <c r="B7" s="21" t="s">
        <v>111</v>
      </c>
      <c r="C7" s="56"/>
      <c r="D7">
        <f>D6 * 'Sit 05'!$C$10 / (1 - (1+'Sit 05'!$C$10)^(-7))</f>
        <v>-666701.26609945844</v>
      </c>
    </row>
    <row r="8" spans="2:10">
      <c r="B8" s="2"/>
      <c r="C8" s="19"/>
      <c r="D8" s="57"/>
    </row>
    <row r="9" spans="2:10">
      <c r="B9" s="2" t="s">
        <v>47</v>
      </c>
      <c r="C9" s="2">
        <v>0</v>
      </c>
      <c r="D9" s="2">
        <v>1</v>
      </c>
      <c r="E9" s="2">
        <v>2</v>
      </c>
      <c r="F9" s="2">
        <v>3</v>
      </c>
      <c r="G9" s="2">
        <v>4</v>
      </c>
      <c r="H9" s="2">
        <v>5</v>
      </c>
      <c r="I9" s="2">
        <v>6</v>
      </c>
      <c r="J9" s="2">
        <v>7</v>
      </c>
    </row>
    <row r="10" spans="2:10">
      <c r="B10" s="8" t="s">
        <v>112</v>
      </c>
      <c r="C10" s="25"/>
      <c r="D10" s="25"/>
      <c r="E10" s="25"/>
      <c r="F10" s="25"/>
      <c r="G10" s="25"/>
      <c r="H10" s="25"/>
      <c r="I10" s="25"/>
      <c r="J10" s="25"/>
    </row>
    <row r="11" spans="2:10">
      <c r="B11" s="8" t="s">
        <v>113</v>
      </c>
      <c r="C11" s="25"/>
      <c r="D11" s="25"/>
      <c r="E11" s="25"/>
      <c r="F11" s="25"/>
      <c r="G11" s="25"/>
      <c r="H11" s="25"/>
      <c r="I11" s="25"/>
      <c r="J11" s="25"/>
    </row>
    <row r="12" spans="2:10">
      <c r="B12" s="2" t="s">
        <v>50</v>
      </c>
      <c r="C12" s="18">
        <v>0</v>
      </c>
      <c r="D12" s="18">
        <v>-23400</v>
      </c>
      <c r="E12" s="18">
        <v>-76800</v>
      </c>
      <c r="F12" s="18">
        <v>-159600</v>
      </c>
      <c r="G12" s="18">
        <v>-237600</v>
      </c>
      <c r="H12" s="18">
        <v>-282000</v>
      </c>
      <c r="I12" s="18">
        <v>-282000</v>
      </c>
      <c r="J12" s="18">
        <v>-300000</v>
      </c>
    </row>
    <row r="13" spans="2:10">
      <c r="B13" s="2" t="s">
        <v>114</v>
      </c>
      <c r="C13" s="18"/>
      <c r="D13" s="9">
        <f>C12 + NPV('Sit 05'!$C$10, D12:J12)</f>
        <v>-916248.18528511852</v>
      </c>
    </row>
    <row r="14" spans="2:10">
      <c r="B14" s="21" t="s">
        <v>115</v>
      </c>
      <c r="C14" s="56"/>
      <c r="D14" s="12">
        <f>D13 * 'Sit 05'!$C$10 / (1 - (1+'Sit 05'!$C$10)^(-7))</f>
        <v>-178530.65071733575</v>
      </c>
    </row>
    <row r="16" spans="2:10">
      <c r="B16" s="2" t="s">
        <v>116</v>
      </c>
    </row>
    <row r="17" spans="2:4">
      <c r="B17" t="s">
        <v>111</v>
      </c>
      <c r="C17" s="18"/>
      <c r="D17" s="9">
        <f>D7</f>
        <v>-666701.26609945844</v>
      </c>
    </row>
    <row r="18" spans="2:4">
      <c r="B18" t="s">
        <v>115</v>
      </c>
      <c r="C18" s="18"/>
      <c r="D18" s="2">
        <f>D14</f>
        <v>-178530.65071733575</v>
      </c>
    </row>
    <row r="19" spans="2:4">
      <c r="B19" s="21" t="s">
        <v>117</v>
      </c>
      <c r="C19" s="56"/>
      <c r="D19" s="9">
        <f>SUM(D17:D18)</f>
        <v>-845231.9168167942</v>
      </c>
    </row>
    <row r="22" spans="2:4">
      <c r="B22" s="2" t="s">
        <v>118</v>
      </c>
      <c r="C22" s="9">
        <v>5000</v>
      </c>
    </row>
    <row r="23" spans="2:4">
      <c r="C23" s="9"/>
    </row>
    <row r="24" spans="2:4">
      <c r="B24" s="2" t="s">
        <v>119</v>
      </c>
      <c r="C24" s="6" t="s">
        <v>120</v>
      </c>
      <c r="D24" s="6" t="s">
        <v>121</v>
      </c>
    </row>
    <row r="25" spans="2:4">
      <c r="B25" t="s">
        <v>127</v>
      </c>
      <c r="C25" s="25">
        <f>ABS($D$17)/$C$22</f>
        <v>133.34025321989168</v>
      </c>
      <c r="D25" s="58">
        <f>C25/12</f>
        <v>11.111687768324307</v>
      </c>
    </row>
    <row r="26" spans="2:4">
      <c r="B26" t="s">
        <v>128</v>
      </c>
      <c r="C26" s="25">
        <f>ABS($D$18)/$C$22</f>
        <v>35.706130143467149</v>
      </c>
      <c r="D26" s="58">
        <f>C26/12</f>
        <v>2.975510845288929</v>
      </c>
    </row>
    <row r="27" spans="2:4">
      <c r="B27" s="21" t="s">
        <v>122</v>
      </c>
      <c r="C27" s="56">
        <f>ABS($D$19)/$C$22</f>
        <v>169.04638336335884</v>
      </c>
      <c r="D27" s="58">
        <f>C27/12</f>
        <v>14.087198613613237</v>
      </c>
    </row>
    <row r="28" spans="2:4">
      <c r="B28" t="s">
        <v>123</v>
      </c>
      <c r="D28" s="58">
        <f>2</f>
        <v>2</v>
      </c>
    </row>
    <row r="29" spans="2:4">
      <c r="B29" s="2" t="s">
        <v>124</v>
      </c>
      <c r="C29" s="2"/>
      <c r="D29" s="59">
        <f>D27 + D28</f>
        <v>16.087198613613239</v>
      </c>
    </row>
    <row r="30" spans="2:4">
      <c r="B30" t="s">
        <v>125</v>
      </c>
      <c r="D30" s="60">
        <v>0.15</v>
      </c>
    </row>
    <row r="31" spans="2:4">
      <c r="B31" s="20" t="s">
        <v>126</v>
      </c>
      <c r="C31" s="20"/>
      <c r="D31" s="61">
        <f>(1+D30)*D29</f>
        <v>18.500278405655223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D4E42-CABB-6E4B-B2A0-0C1AC3957F90}">
  <dimension ref="A2:K25"/>
  <sheetViews>
    <sheetView workbookViewId="0">
      <selection activeCell="J23" sqref="J23"/>
    </sheetView>
  </sheetViews>
  <sheetFormatPr baseColWidth="10" defaultRowHeight="13.2"/>
  <cols>
    <col min="2" max="2" width="40.109375" bestFit="1" customWidth="1"/>
    <col min="3" max="3" width="12.6640625" bestFit="1" customWidth="1"/>
  </cols>
  <sheetData>
    <row r="2" spans="2:11">
      <c r="C2" s="18">
        <v>0</v>
      </c>
      <c r="D2" s="18">
        <v>1</v>
      </c>
      <c r="E2" s="18">
        <v>2</v>
      </c>
      <c r="F2" s="18">
        <v>3</v>
      </c>
      <c r="G2" s="18">
        <v>4</v>
      </c>
      <c r="H2" s="18">
        <v>5</v>
      </c>
      <c r="I2" s="18">
        <v>6</v>
      </c>
      <c r="J2" s="18">
        <v>7</v>
      </c>
    </row>
    <row r="3" spans="2:11">
      <c r="B3" t="s">
        <v>169</v>
      </c>
      <c r="C3" s="9">
        <v>250</v>
      </c>
      <c r="D3" s="9">
        <v>0</v>
      </c>
      <c r="E3" s="9">
        <v>0</v>
      </c>
      <c r="F3" s="9">
        <v>0</v>
      </c>
      <c r="G3" s="9">
        <v>0</v>
      </c>
      <c r="H3" s="9">
        <v>0</v>
      </c>
      <c r="I3" s="9">
        <v>0</v>
      </c>
      <c r="J3" s="9">
        <v>0</v>
      </c>
    </row>
    <row r="4" spans="2:11">
      <c r="C4" s="9"/>
      <c r="D4" s="9"/>
      <c r="E4" s="9"/>
      <c r="F4" s="9"/>
      <c r="G4" s="9"/>
      <c r="H4" s="9"/>
      <c r="I4" s="9"/>
      <c r="J4" s="9"/>
    </row>
    <row r="5" spans="2:11">
      <c r="B5" s="8" t="s">
        <v>47</v>
      </c>
    </row>
    <row r="6" spans="2:11">
      <c r="B6" s="8" t="s">
        <v>129</v>
      </c>
      <c r="C6" s="57">
        <v>29.9</v>
      </c>
      <c r="D6" s="15" t="s">
        <v>130</v>
      </c>
      <c r="K6" t="s">
        <v>183</v>
      </c>
    </row>
    <row r="7" spans="2:11">
      <c r="B7" s="23" t="s">
        <v>52</v>
      </c>
      <c r="C7" s="63">
        <v>29.9</v>
      </c>
      <c r="D7" t="s">
        <v>137</v>
      </c>
    </row>
    <row r="8" spans="2:11">
      <c r="B8" s="8" t="s">
        <v>53</v>
      </c>
      <c r="C8" s="9">
        <f>12*C7</f>
        <v>358.79999999999995</v>
      </c>
      <c r="D8" s="9"/>
      <c r="E8" s="9"/>
      <c r="F8" s="9"/>
      <c r="G8" s="9"/>
      <c r="H8" s="9"/>
      <c r="I8" s="9"/>
      <c r="J8" s="9"/>
    </row>
    <row r="9" spans="2:11">
      <c r="B9" t="s">
        <v>132</v>
      </c>
      <c r="C9" s="24">
        <v>0.18</v>
      </c>
      <c r="D9" s="24"/>
      <c r="E9" s="24"/>
      <c r="F9" s="24"/>
      <c r="G9" s="24"/>
      <c r="H9" s="24"/>
      <c r="I9" s="24"/>
      <c r="J9" s="24"/>
    </row>
    <row r="10" spans="2:11">
      <c r="B10" s="8" t="s">
        <v>131</v>
      </c>
      <c r="C10" s="18">
        <f>C8*C9</f>
        <v>64.583999999999989</v>
      </c>
      <c r="D10" s="18"/>
      <c r="E10" s="18"/>
      <c r="F10" s="18"/>
      <c r="G10" s="18"/>
      <c r="H10" s="18"/>
      <c r="I10" s="18"/>
      <c r="J10" s="18"/>
    </row>
    <row r="11" spans="2:11">
      <c r="B11" s="8" t="s">
        <v>54</v>
      </c>
      <c r="C11" s="18">
        <f>C8-C10</f>
        <v>294.21599999999995</v>
      </c>
      <c r="D11" s="18"/>
      <c r="E11" s="18"/>
      <c r="F11" s="18"/>
      <c r="G11" s="18"/>
      <c r="H11" s="18"/>
      <c r="I11" s="18"/>
      <c r="J11" s="18"/>
    </row>
    <row r="13" spans="2:11">
      <c r="B13" s="2" t="s">
        <v>47</v>
      </c>
      <c r="C13" s="18">
        <v>0</v>
      </c>
      <c r="D13" s="18">
        <v>1</v>
      </c>
      <c r="E13" s="18">
        <v>2</v>
      </c>
      <c r="F13" s="18">
        <v>3</v>
      </c>
      <c r="G13" s="18">
        <v>4</v>
      </c>
      <c r="H13" s="18">
        <v>5</v>
      </c>
      <c r="I13" s="18">
        <v>6</v>
      </c>
      <c r="J13" s="18">
        <v>7</v>
      </c>
    </row>
    <row r="14" spans="2:11">
      <c r="B14" t="s">
        <v>53</v>
      </c>
      <c r="C14" s="9"/>
      <c r="D14" s="9">
        <f>359</f>
        <v>359</v>
      </c>
      <c r="E14" s="9">
        <f>359</f>
        <v>359</v>
      </c>
      <c r="F14" s="9">
        <f>359</f>
        <v>359</v>
      </c>
      <c r="G14" s="9">
        <f>359</f>
        <v>359</v>
      </c>
      <c r="H14" s="9">
        <f>359</f>
        <v>359</v>
      </c>
      <c r="I14" s="9">
        <f>359</f>
        <v>359</v>
      </c>
      <c r="J14" s="9">
        <f>359</f>
        <v>359</v>
      </c>
    </row>
    <row r="15" spans="2:11">
      <c r="B15" s="8" t="s">
        <v>138</v>
      </c>
      <c r="C15" s="25">
        <v>0</v>
      </c>
      <c r="D15" s="25">
        <v>632.77228851052405</v>
      </c>
      <c r="E15" s="25">
        <v>1054.6204808508701</v>
      </c>
      <c r="F15" s="25">
        <v>1265.5445770210499</v>
      </c>
      <c r="G15" s="25">
        <v>843.696384680699</v>
      </c>
      <c r="H15" s="25">
        <v>421.84819234034899</v>
      </c>
      <c r="I15" s="25">
        <v>0</v>
      </c>
      <c r="J15" s="25">
        <v>0</v>
      </c>
    </row>
    <row r="16" spans="2:11">
      <c r="B16" s="2" t="s">
        <v>133</v>
      </c>
      <c r="C16" s="18"/>
      <c r="D16" s="18">
        <f>D14+D15</f>
        <v>991.77228851052405</v>
      </c>
      <c r="E16" s="18">
        <f t="shared" ref="E16:J16" si="0">E14+E15</f>
        <v>1413.6204808508701</v>
      </c>
      <c r="F16" s="18">
        <f t="shared" si="0"/>
        <v>1624.5445770210499</v>
      </c>
      <c r="G16" s="18">
        <f t="shared" si="0"/>
        <v>1202.6963846806989</v>
      </c>
      <c r="H16" s="18">
        <f t="shared" si="0"/>
        <v>780.84819234034899</v>
      </c>
      <c r="I16" s="18">
        <f t="shared" si="0"/>
        <v>359</v>
      </c>
      <c r="J16" s="18">
        <f t="shared" si="0"/>
        <v>359</v>
      </c>
    </row>
    <row r="17" spans="1:10">
      <c r="A17" s="2"/>
      <c r="B17" t="s">
        <v>54</v>
      </c>
      <c r="C17" s="25"/>
      <c r="D17" s="25">
        <f>-(D14-D10)</f>
        <v>-359</v>
      </c>
      <c r="E17" s="25">
        <f t="shared" ref="E17:J17" si="1">-(E14-E10)</f>
        <v>-359</v>
      </c>
      <c r="F17" s="25">
        <f t="shared" si="1"/>
        <v>-359</v>
      </c>
      <c r="G17" s="25">
        <f t="shared" si="1"/>
        <v>-359</v>
      </c>
      <c r="H17" s="25">
        <f t="shared" si="1"/>
        <v>-359</v>
      </c>
      <c r="I17" s="25">
        <f t="shared" si="1"/>
        <v>-359</v>
      </c>
      <c r="J17" s="25">
        <f t="shared" si="1"/>
        <v>-359</v>
      </c>
    </row>
    <row r="18" spans="1:10">
      <c r="B18" t="s">
        <v>51</v>
      </c>
      <c r="C18" s="25">
        <v>0</v>
      </c>
      <c r="D18" s="25">
        <v>-951.89797559994599</v>
      </c>
      <c r="E18" s="25">
        <v>-1586.4966259999101</v>
      </c>
      <c r="F18" s="25">
        <v>-1903.7959511998899</v>
      </c>
      <c r="G18" s="25">
        <v>-1269.19730079993</v>
      </c>
      <c r="H18" s="25">
        <v>-634.59865039996396</v>
      </c>
      <c r="I18" s="25">
        <v>0</v>
      </c>
      <c r="J18" s="25">
        <v>1269.19730079993</v>
      </c>
    </row>
    <row r="19" spans="1:10">
      <c r="B19" s="2" t="s">
        <v>134</v>
      </c>
      <c r="C19" s="18"/>
      <c r="D19" s="18">
        <f>D17+D18</f>
        <v>-1310.897975599946</v>
      </c>
      <c r="E19" s="18">
        <f t="shared" ref="E19:J19" si="2">E17+E18</f>
        <v>-1945.4966259999101</v>
      </c>
      <c r="F19" s="18">
        <f t="shared" si="2"/>
        <v>-2262.7959511998897</v>
      </c>
      <c r="G19" s="18">
        <f t="shared" si="2"/>
        <v>-1628.19730079993</v>
      </c>
      <c r="H19" s="18">
        <f t="shared" si="2"/>
        <v>-993.59865039996396</v>
      </c>
      <c r="I19" s="18">
        <f t="shared" si="2"/>
        <v>-359</v>
      </c>
      <c r="J19" s="18">
        <f t="shared" si="2"/>
        <v>910.19730079992996</v>
      </c>
    </row>
    <row r="20" spans="1:10">
      <c r="B20" s="2" t="s">
        <v>135</v>
      </c>
      <c r="C20" s="18">
        <f>-250</f>
        <v>-250</v>
      </c>
      <c r="D20" s="18">
        <f>D16+D19</f>
        <v>-319.12568708942194</v>
      </c>
      <c r="E20" s="18">
        <f t="shared" ref="E20:J20" si="3">E16+E19</f>
        <v>-531.87614514903998</v>
      </c>
      <c r="F20" s="18">
        <f t="shared" si="3"/>
        <v>-638.2513741788398</v>
      </c>
      <c r="G20" s="18">
        <f t="shared" si="3"/>
        <v>-425.50091611923108</v>
      </c>
      <c r="H20" s="18">
        <f t="shared" si="3"/>
        <v>-212.75045805961497</v>
      </c>
      <c r="I20" s="18">
        <f t="shared" si="3"/>
        <v>0</v>
      </c>
      <c r="J20" s="18">
        <f t="shared" si="3"/>
        <v>1269.19730079993</v>
      </c>
    </row>
    <row r="22" spans="1:10">
      <c r="B22" t="s">
        <v>9</v>
      </c>
      <c r="C22" s="11">
        <f>'Sit 01'!E21</f>
        <v>8.4214499999999998E-2</v>
      </c>
    </row>
    <row r="23" spans="1:10">
      <c r="B23" s="21" t="s">
        <v>136</v>
      </c>
      <c r="C23" s="56"/>
      <c r="D23" s="9">
        <f>C20 + NPV($C$22, D20:J20)</f>
        <v>-1226.8531716109114</v>
      </c>
    </row>
    <row r="24" spans="1:10">
      <c r="B24" s="21" t="s">
        <v>55</v>
      </c>
      <c r="C24" s="62"/>
      <c r="D24" s="5">
        <f>IRR(C20:J20)</f>
        <v>-0.13574024141772045</v>
      </c>
    </row>
    <row r="25" spans="1:10">
      <c r="B25" s="21" t="s">
        <v>56</v>
      </c>
      <c r="C25" s="61"/>
      <c r="D25" s="5">
        <f>C24/$C$22</f>
        <v>0</v>
      </c>
    </row>
  </sheetData>
  <hyperlinks>
    <hyperlink ref="D6" r:id="rId1" xr:uid="{1B836D0D-C564-49EF-A4E1-881B9DB2476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8A17-B97C-4B46-8E39-A680F364E3D8}">
  <dimension ref="A2:F17"/>
  <sheetViews>
    <sheetView workbookViewId="0">
      <selection activeCell="F16" sqref="F16"/>
    </sheetView>
  </sheetViews>
  <sheetFormatPr baseColWidth="10" defaultRowHeight="13.2"/>
  <cols>
    <col min="1" max="1" width="13" customWidth="1"/>
    <col min="2" max="2" width="45.109375" customWidth="1"/>
    <col min="3" max="10" width="11.6640625" customWidth="1"/>
    <col min="11" max="11" width="12.44140625" customWidth="1"/>
  </cols>
  <sheetData>
    <row r="2" spans="1:6">
      <c r="C2" s="6" t="s">
        <v>57</v>
      </c>
      <c r="D2" s="6" t="s">
        <v>58</v>
      </c>
      <c r="E2" s="6" t="s">
        <v>59</v>
      </c>
      <c r="F2" s="6" t="s">
        <v>60</v>
      </c>
    </row>
    <row r="3" spans="1:6">
      <c r="B3" s="2" t="s">
        <v>61</v>
      </c>
      <c r="C3" s="35">
        <v>28.609785605490835</v>
      </c>
      <c r="D3" s="35">
        <v>32.350268842181158</v>
      </c>
      <c r="E3" s="35">
        <v>21.296769623896029</v>
      </c>
      <c r="F3" s="35">
        <v>-0.73097819553042442</v>
      </c>
    </row>
    <row r="4" spans="1:6">
      <c r="B4" s="2" t="s">
        <v>55</v>
      </c>
      <c r="C4" s="36">
        <v>0.11517963981368018</v>
      </c>
      <c r="D4" s="36">
        <v>9.7456911684331571E-2</v>
      </c>
      <c r="E4" s="36">
        <v>0.12207746102713402</v>
      </c>
      <c r="F4" s="36">
        <v>0.10703361291407631</v>
      </c>
    </row>
    <row r="5" spans="1:6">
      <c r="B5" s="2" t="s">
        <v>9</v>
      </c>
      <c r="C5" s="36">
        <v>9.5000000000000001E-2</v>
      </c>
      <c r="D5" s="36">
        <v>6.5000000000000002E-2</v>
      </c>
      <c r="E5" s="36">
        <v>0.06</v>
      </c>
      <c r="F5" s="36">
        <v>0.11</v>
      </c>
    </row>
    <row r="6" spans="1:6">
      <c r="B6" s="2" t="s">
        <v>56</v>
      </c>
      <c r="C6" s="37">
        <v>1.2124172611966335</v>
      </c>
      <c r="D6" s="37">
        <v>1.4993371028358702</v>
      </c>
      <c r="E6" s="37">
        <v>2.0346243504522339</v>
      </c>
      <c r="F6" s="37">
        <v>0.97303284467342099</v>
      </c>
    </row>
    <row r="7" spans="1:6">
      <c r="B7" s="2" t="s">
        <v>45</v>
      </c>
      <c r="C7" s="38">
        <v>760</v>
      </c>
      <c r="D7" s="38">
        <v>500</v>
      </c>
      <c r="E7" s="38">
        <v>168</v>
      </c>
      <c r="F7" s="38">
        <v>150</v>
      </c>
    </row>
    <row r="8" spans="1:6">
      <c r="B8" s="2" t="s">
        <v>62</v>
      </c>
      <c r="C8" s="9">
        <v>2000000</v>
      </c>
      <c r="D8" s="9">
        <v>1000000</v>
      </c>
      <c r="E8" s="9">
        <v>300000</v>
      </c>
      <c r="F8" s="9">
        <v>500000</v>
      </c>
    </row>
    <row r="9" spans="1:6">
      <c r="B9" s="2" t="s">
        <v>64</v>
      </c>
      <c r="C9" s="39">
        <v>1.1200000000000001</v>
      </c>
      <c r="D9" s="39">
        <v>1.1200000000000001</v>
      </c>
      <c r="E9" s="39">
        <v>1.1200000000000001</v>
      </c>
      <c r="F9" s="39">
        <v>1.1200000000000001</v>
      </c>
    </row>
    <row r="10" spans="1:6">
      <c r="B10" s="2" t="s">
        <v>63</v>
      </c>
      <c r="C10" s="39">
        <v>9.2417261196633405E-2</v>
      </c>
      <c r="D10" s="39">
        <v>0.37933710283587008</v>
      </c>
      <c r="E10" s="39">
        <v>0.91462435045223378</v>
      </c>
      <c r="F10" s="39">
        <v>-0.14696715532657911</v>
      </c>
    </row>
    <row r="11" spans="1:6">
      <c r="A11" s="12" t="s">
        <v>73</v>
      </c>
      <c r="B11" s="2" t="s">
        <v>65</v>
      </c>
      <c r="C11" t="s">
        <v>184</v>
      </c>
      <c r="D11" t="s">
        <v>184</v>
      </c>
      <c r="E11" t="s">
        <v>184</v>
      </c>
      <c r="F11" t="s">
        <v>185</v>
      </c>
    </row>
    <row r="12" spans="1:6">
      <c r="A12" s="12" t="s">
        <v>73</v>
      </c>
      <c r="B12" s="2" t="s">
        <v>66</v>
      </c>
    </row>
    <row r="13" spans="1:6">
      <c r="A13" s="12" t="s">
        <v>72</v>
      </c>
      <c r="B13" s="2" t="s">
        <v>67</v>
      </c>
      <c r="C13">
        <f>C4/C5</f>
        <v>1.2124172611966335</v>
      </c>
      <c r="D13">
        <f>D4/D5</f>
        <v>1.4993371028358702</v>
      </c>
      <c r="E13">
        <f>E4/E5</f>
        <v>2.0346243504522339</v>
      </c>
      <c r="F13">
        <f>F4/F5</f>
        <v>0.97303284467342099</v>
      </c>
    </row>
    <row r="14" spans="1:6">
      <c r="A14" s="12" t="s">
        <v>72</v>
      </c>
      <c r="B14" s="2" t="s">
        <v>68</v>
      </c>
    </row>
    <row r="15" spans="1:6">
      <c r="A15" s="12" t="s">
        <v>72</v>
      </c>
      <c r="B15" s="2" t="s">
        <v>69</v>
      </c>
    </row>
    <row r="16" spans="1:6">
      <c r="A16" s="12" t="s">
        <v>73</v>
      </c>
      <c r="B16" s="2" t="s">
        <v>70</v>
      </c>
    </row>
    <row r="17" spans="1:2">
      <c r="A17" s="12" t="s">
        <v>73</v>
      </c>
      <c r="B17" s="2" t="s">
        <v>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EB72-27FA-D642-86B5-17F4978B7B27}">
  <dimension ref="B2:H23"/>
  <sheetViews>
    <sheetView workbookViewId="0">
      <selection activeCell="B23" sqref="B23"/>
    </sheetView>
  </sheetViews>
  <sheetFormatPr baseColWidth="10" defaultColWidth="10.77734375" defaultRowHeight="13.2"/>
  <cols>
    <col min="2" max="2" width="42.44140625" customWidth="1"/>
    <col min="3" max="3" width="8.77734375" customWidth="1"/>
    <col min="4" max="8" width="8.6640625" customWidth="1"/>
    <col min="10" max="10" width="11.33203125" bestFit="1" customWidth="1"/>
  </cols>
  <sheetData>
    <row r="2" spans="2:8">
      <c r="B2" t="s">
        <v>45</v>
      </c>
      <c r="C2" s="14"/>
    </row>
    <row r="3" spans="2:8">
      <c r="B3" t="s">
        <v>139</v>
      </c>
      <c r="C3" s="14"/>
    </row>
    <row r="4" spans="2:8">
      <c r="B4" t="s">
        <v>140</v>
      </c>
      <c r="C4" s="14"/>
    </row>
    <row r="5" spans="2:8">
      <c r="B5" t="s">
        <v>141</v>
      </c>
      <c r="C5" s="64"/>
    </row>
    <row r="6" spans="2:8">
      <c r="B6" t="s">
        <v>142</v>
      </c>
      <c r="C6" s="65"/>
    </row>
    <row r="7" spans="2:8">
      <c r="B7" t="s">
        <v>143</v>
      </c>
      <c r="C7" s="14"/>
    </row>
    <row r="8" spans="2:8">
      <c r="B8" t="s">
        <v>144</v>
      </c>
      <c r="C8" s="64"/>
    </row>
    <row r="10" spans="2:8">
      <c r="B10" s="17" t="s">
        <v>145</v>
      </c>
      <c r="C10" s="17">
        <v>0</v>
      </c>
      <c r="D10" s="17">
        <v>0</v>
      </c>
      <c r="E10" s="17">
        <v>0</v>
      </c>
      <c r="F10" s="17">
        <v>0</v>
      </c>
      <c r="G10" s="17">
        <v>0</v>
      </c>
      <c r="H10" t="s">
        <v>12</v>
      </c>
    </row>
    <row r="11" spans="2:8">
      <c r="B11" t="s">
        <v>146</v>
      </c>
      <c r="D11" s="10"/>
      <c r="E11" s="10"/>
      <c r="F11" s="10"/>
      <c r="G11" s="10"/>
      <c r="H11" s="10"/>
    </row>
    <row r="12" spans="2:8">
      <c r="B12" t="s">
        <v>147</v>
      </c>
      <c r="D12" s="10"/>
      <c r="E12" s="10"/>
      <c r="F12" s="10"/>
      <c r="G12" s="10"/>
      <c r="H12" s="10"/>
    </row>
    <row r="13" spans="2:8">
      <c r="B13" s="2" t="s">
        <v>148</v>
      </c>
      <c r="C13" s="2"/>
      <c r="D13" s="19"/>
      <c r="E13" s="19"/>
      <c r="F13" s="19"/>
      <c r="G13" s="19"/>
      <c r="H13" s="19"/>
    </row>
    <row r="14" spans="2:8">
      <c r="B14" t="s">
        <v>149</v>
      </c>
      <c r="D14" s="10"/>
      <c r="E14" s="10"/>
      <c r="F14" s="10"/>
      <c r="G14" s="10"/>
      <c r="H14" s="10"/>
    </row>
    <row r="16" spans="2:8">
      <c r="B16" s="17" t="s">
        <v>150</v>
      </c>
      <c r="C16" s="17">
        <v>0</v>
      </c>
      <c r="D16" s="17">
        <v>0</v>
      </c>
      <c r="E16" s="17">
        <v>0</v>
      </c>
      <c r="F16" s="17">
        <v>0</v>
      </c>
      <c r="G16" s="17">
        <v>0</v>
      </c>
    </row>
    <row r="17" spans="2:8">
      <c r="B17" t="s">
        <v>45</v>
      </c>
      <c r="D17" s="66"/>
      <c r="E17" s="66"/>
      <c r="F17" s="66"/>
      <c r="G17" s="66"/>
      <c r="H17" s="66"/>
    </row>
    <row r="18" spans="2:8">
      <c r="B18" t="s">
        <v>151</v>
      </c>
      <c r="D18" s="66"/>
      <c r="E18" s="66"/>
      <c r="F18" s="66"/>
      <c r="G18" s="66"/>
      <c r="H18" s="66"/>
    </row>
    <row r="19" spans="2:8">
      <c r="B19" t="s">
        <v>152</v>
      </c>
      <c r="D19" s="66"/>
      <c r="E19" s="66"/>
      <c r="F19" s="66"/>
      <c r="G19" s="66"/>
      <c r="H19" s="66"/>
    </row>
    <row r="20" spans="2:8">
      <c r="B20" s="2" t="s">
        <v>153</v>
      </c>
      <c r="C20" s="7"/>
      <c r="D20" s="7"/>
      <c r="E20" s="7"/>
      <c r="F20" s="7"/>
      <c r="G20" s="7"/>
      <c r="H20" s="7"/>
    </row>
    <row r="21" spans="2:8">
      <c r="B21" s="67" t="s">
        <v>154</v>
      </c>
      <c r="C21" s="68"/>
      <c r="D21" s="66"/>
      <c r="E21" s="66"/>
      <c r="F21" s="66"/>
      <c r="G21" s="66"/>
      <c r="H21" s="66"/>
    </row>
    <row r="22" spans="2:8">
      <c r="B22" s="69" t="s">
        <v>55</v>
      </c>
      <c r="C22" s="70"/>
    </row>
    <row r="23" spans="2:8">
      <c r="C23" s="3"/>
      <c r="D2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Presentacion</vt:lpstr>
      <vt:lpstr>Sit 01</vt:lpstr>
      <vt:lpstr>Sit 02</vt:lpstr>
      <vt:lpstr>Sit 03</vt:lpstr>
      <vt:lpstr>Sit 04</vt:lpstr>
      <vt:lpstr>Sit 05</vt:lpstr>
      <vt:lpstr>Sit 06</vt:lpstr>
      <vt:lpstr>Sit 07</vt:lpstr>
      <vt:lpstr>Sit 08</vt:lpstr>
      <vt:lpstr>Sit 09</vt:lpstr>
      <vt:lpstr>OLD_Sit 04</vt:lpstr>
      <vt:lpstr>Presentacion!_ftnref1</vt:lpstr>
      <vt:lpstr>Presentacion!_Toc257447184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Castejón Martín</dc:creator>
  <cp:lastModifiedBy>ANDRES ROQUES SANCHEZ</cp:lastModifiedBy>
  <dcterms:created xsi:type="dcterms:W3CDTF">2022-02-25T19:00:00Z</dcterms:created>
  <dcterms:modified xsi:type="dcterms:W3CDTF">2026-02-26T23:21:30Z</dcterms:modified>
</cp:coreProperties>
</file>