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\Desktop\Uni\2M Segundo de master\Economía\NTIC\Caso NVIDIA\"/>
    </mc:Choice>
  </mc:AlternateContent>
  <xr:revisionPtr revIDLastSave="0" documentId="13_ncr:1_{C99FDD70-6D17-4E1C-8D8A-5E05EF809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4" i="1" l="1"/>
  <c r="Q44" i="1"/>
  <c r="I44" i="1"/>
  <c r="L6" i="1"/>
  <c r="L11" i="1"/>
  <c r="L10" i="1"/>
  <c r="F10" i="1"/>
  <c r="G10" i="1"/>
  <c r="H10" i="1"/>
  <c r="I10" i="1"/>
  <c r="F11" i="1"/>
  <c r="G11" i="1"/>
  <c r="H11" i="1"/>
  <c r="I11" i="1"/>
  <c r="G9" i="1"/>
  <c r="H9" i="1"/>
  <c r="I9" i="1"/>
  <c r="L9" i="1" s="1"/>
  <c r="F9" i="1"/>
  <c r="L14" i="1"/>
  <c r="L13" i="1"/>
  <c r="L53" i="1"/>
  <c r="L48" i="1"/>
  <c r="D42" i="1"/>
  <c r="T51" i="1"/>
  <c r="L51" i="1"/>
  <c r="C51" i="1"/>
  <c r="F6" i="1"/>
  <c r="E30" i="1"/>
  <c r="D30" i="1"/>
  <c r="C30" i="1"/>
  <c r="E26" i="1"/>
  <c r="C26" i="1"/>
  <c r="F8" i="1"/>
  <c r="F14" i="1" s="1"/>
  <c r="T40" i="1" s="1"/>
  <c r="D15" i="1"/>
  <c r="E15" i="1"/>
  <c r="C15" i="1"/>
  <c r="F7" i="1"/>
  <c r="G7" i="1" s="1"/>
  <c r="H7" i="1" s="1"/>
  <c r="I7" i="1" s="1"/>
  <c r="J7" i="1" s="1"/>
  <c r="L7" i="1" s="1"/>
  <c r="D26" i="1"/>
  <c r="C21" i="1"/>
  <c r="C22" i="1" s="1"/>
  <c r="D21" i="1"/>
  <c r="D22" i="1" s="1"/>
  <c r="E21" i="1"/>
  <c r="E22" i="1" s="1"/>
  <c r="M42" i="1" l="1"/>
  <c r="P42" i="1"/>
  <c r="O42" i="1"/>
  <c r="N42" i="1"/>
  <c r="L42" i="1"/>
  <c r="T42" i="1"/>
  <c r="G6" i="1"/>
  <c r="H6" i="1" s="1"/>
  <c r="H12" i="1" s="1"/>
  <c r="F40" i="1" s="1"/>
  <c r="F22" i="1"/>
  <c r="I24" i="1"/>
  <c r="O43" i="1" s="1"/>
  <c r="H24" i="1"/>
  <c r="N43" i="1" s="1"/>
  <c r="F24" i="1"/>
  <c r="L43" i="1" s="1"/>
  <c r="J24" i="1"/>
  <c r="P43" i="1" s="1"/>
  <c r="G24" i="1"/>
  <c r="M43" i="1" s="1"/>
  <c r="F23" i="1"/>
  <c r="F25" i="1"/>
  <c r="T43" i="1" s="1"/>
  <c r="F12" i="1"/>
  <c r="D40" i="1" s="1"/>
  <c r="J13" i="1"/>
  <c r="P40" i="1" s="1"/>
  <c r="I13" i="1"/>
  <c r="O40" i="1" s="1"/>
  <c r="H13" i="1"/>
  <c r="N40" i="1" s="1"/>
  <c r="G13" i="1"/>
  <c r="M40" i="1" s="1"/>
  <c r="F13" i="1"/>
  <c r="L40" i="1" s="1"/>
  <c r="G8" i="1"/>
  <c r="U42" i="1" s="1"/>
  <c r="F21" i="1" l="1"/>
  <c r="F19" i="1"/>
  <c r="D41" i="1" s="1"/>
  <c r="F20" i="1"/>
  <c r="L41" i="1" s="1"/>
  <c r="H8" i="1"/>
  <c r="V42" i="1" s="1"/>
  <c r="G22" i="1"/>
  <c r="H22" i="1" s="1"/>
  <c r="I8" i="1"/>
  <c r="W42" i="1" s="1"/>
  <c r="G12" i="1"/>
  <c r="E40" i="1" s="1"/>
  <c r="D43" i="1"/>
  <c r="G23" i="1"/>
  <c r="E43" i="1" s="1"/>
  <c r="E42" i="1"/>
  <c r="I6" i="1"/>
  <c r="F42" i="1"/>
  <c r="H23" i="1"/>
  <c r="G14" i="1"/>
  <c r="U40" i="1" s="1"/>
  <c r="G25" i="1"/>
  <c r="U43" i="1" s="1"/>
  <c r="K26" i="1"/>
  <c r="H14" i="1" l="1"/>
  <c r="V40" i="1" s="1"/>
  <c r="H19" i="1"/>
  <c r="F41" i="1" s="1"/>
  <c r="H21" i="1"/>
  <c r="V41" i="1" s="1"/>
  <c r="H20" i="1"/>
  <c r="N41" i="1" s="1"/>
  <c r="T41" i="1"/>
  <c r="T44" i="1" s="1"/>
  <c r="L44" i="1"/>
  <c r="G19" i="1"/>
  <c r="E41" i="1" s="1"/>
  <c r="G21" i="1"/>
  <c r="U41" i="1" s="1"/>
  <c r="U44" i="1" s="1"/>
  <c r="G20" i="1"/>
  <c r="M41" i="1" s="1"/>
  <c r="I25" i="1"/>
  <c r="W43" i="1" s="1"/>
  <c r="I14" i="1"/>
  <c r="W40" i="1" s="1"/>
  <c r="H25" i="1"/>
  <c r="V43" i="1" s="1"/>
  <c r="V44" i="1" s="1"/>
  <c r="N44" i="1"/>
  <c r="L23" i="1"/>
  <c r="F43" i="1"/>
  <c r="J6" i="1"/>
  <c r="G42" i="1"/>
  <c r="I23" i="1"/>
  <c r="G43" i="1" s="1"/>
  <c r="I12" i="1"/>
  <c r="J8" i="1"/>
  <c r="X42" i="1" s="1"/>
  <c r="I22" i="1"/>
  <c r="D44" i="1"/>
  <c r="L21" i="1"/>
  <c r="E44" i="1" l="1"/>
  <c r="J22" i="1"/>
  <c r="I20" i="1"/>
  <c r="O41" i="1" s="1"/>
  <c r="I21" i="1"/>
  <c r="I19" i="1"/>
  <c r="G41" i="1" s="1"/>
  <c r="M44" i="1"/>
  <c r="H42" i="1"/>
  <c r="J12" i="1"/>
  <c r="J23" i="1"/>
  <c r="H43" i="1" s="1"/>
  <c r="J25" i="1"/>
  <c r="X43" i="1" s="1"/>
  <c r="L8" i="1"/>
  <c r="J14" i="1"/>
  <c r="X40" i="1" s="1"/>
  <c r="G40" i="1"/>
  <c r="L12" i="1"/>
  <c r="J19" i="1" l="1"/>
  <c r="H41" i="1" s="1"/>
  <c r="J20" i="1"/>
  <c r="P41" i="1" s="1"/>
  <c r="J21" i="1"/>
  <c r="F44" i="1"/>
  <c r="H40" i="1"/>
  <c r="H44" i="1" l="1"/>
  <c r="H46" i="1" s="1"/>
  <c r="C47" i="1" s="1"/>
  <c r="G44" i="1"/>
  <c r="C45" i="1" s="1"/>
  <c r="X41" i="1"/>
  <c r="X44" i="1" s="1"/>
  <c r="X46" i="1" s="1"/>
  <c r="T47" i="1" s="1"/>
  <c r="P44" i="1"/>
  <c r="P46" i="1" s="1"/>
  <c r="L47" i="1" s="1"/>
  <c r="W41" i="1"/>
  <c r="W44" i="1" s="1"/>
  <c r="T45" i="1" s="1"/>
  <c r="O44" i="1"/>
  <c r="T50" i="1" l="1"/>
  <c r="T53" i="1" s="1"/>
  <c r="T55" i="1" s="1"/>
  <c r="C50" i="1"/>
  <c r="C53" i="1" s="1"/>
  <c r="C55" i="1" s="1"/>
  <c r="L45" i="1"/>
  <c r="L50" i="1" s="1"/>
  <c r="L55" i="1" s="1"/>
  <c r="C48" i="1" l="1"/>
  <c r="T48" i="1"/>
</calcChain>
</file>

<file path=xl/sharedStrings.xml><?xml version="1.0" encoding="utf-8"?>
<sst xmlns="http://schemas.openxmlformats.org/spreadsheetml/2006/main" count="130" uniqueCount="77">
  <si>
    <t>Concepto</t>
  </si>
  <si>
    <t>2024r</t>
  </si>
  <si>
    <t>2025e</t>
  </si>
  <si>
    <t>2026e</t>
  </si>
  <si>
    <t>2027e</t>
  </si>
  <si>
    <t>2028e</t>
  </si>
  <si>
    <t>2029e</t>
  </si>
  <si>
    <t>BNA</t>
  </si>
  <si>
    <t>TAMI '24-'29</t>
  </si>
  <si>
    <t>Activo Fijo neto</t>
  </si>
  <si>
    <t>Inmovilizado financiero</t>
  </si>
  <si>
    <t>Necesidades operativas de fondos</t>
  </si>
  <si>
    <t>Otros Activos/(pasivos) neto</t>
  </si>
  <si>
    <t>Capital Empleado</t>
  </si>
  <si>
    <t>Recursos propios</t>
  </si>
  <si>
    <t>Minoritarios</t>
  </si>
  <si>
    <t>Deuda financiera neta</t>
  </si>
  <si>
    <t>CAGR</t>
  </si>
  <si>
    <t>D&amp;A</t>
  </si>
  <si>
    <t>D&amp;A/Ingresos</t>
  </si>
  <si>
    <t>empresa de infraestructuras</t>
  </si>
  <si>
    <t>FCFF</t>
  </si>
  <si>
    <t>t</t>
  </si>
  <si>
    <t>-CAPEX</t>
  </si>
  <si>
    <t>WACC</t>
  </si>
  <si>
    <t>EV</t>
  </si>
  <si>
    <t>-Deuda neta</t>
  </si>
  <si>
    <t>-Otros ajustes</t>
  </si>
  <si>
    <t>Eq Value</t>
  </si>
  <si>
    <t>nº acc en ccion</t>
  </si>
  <si>
    <t>mn</t>
  </si>
  <si>
    <t>valor accion</t>
  </si>
  <si>
    <t>Valor residual</t>
  </si>
  <si>
    <t>g</t>
  </si>
  <si>
    <t>PV(VR)</t>
  </si>
  <si>
    <t>PV(DCF 1-5)</t>
  </si>
  <si>
    <t>% VR/EV</t>
  </si>
  <si>
    <t>NOPAT = EBIT(1-t)</t>
  </si>
  <si>
    <t>2030e</t>
  </si>
  <si>
    <t>GUIDANCE</t>
  </si>
  <si>
    <t>Mill de $</t>
  </si>
  <si>
    <t>2031e</t>
  </si>
  <si>
    <t>Siguiendo dinámica</t>
  </si>
  <si>
    <t>Crecimiento base</t>
  </si>
  <si>
    <t>Ingresos net base</t>
  </si>
  <si>
    <t>Crecimiento opt</t>
  </si>
  <si>
    <t>Crecimiento pes</t>
  </si>
  <si>
    <t>Ingresos net opt</t>
  </si>
  <si>
    <t>Ingresos net pes</t>
  </si>
  <si>
    <t>growth</t>
  </si>
  <si>
    <t>Margen EBIT base</t>
  </si>
  <si>
    <t>Margen EBIT opt</t>
  </si>
  <si>
    <t>Margen EBIT pes</t>
  </si>
  <si>
    <t>EBIT base</t>
  </si>
  <si>
    <t>EBIT opt</t>
  </si>
  <si>
    <t>EBIR pes</t>
  </si>
  <si>
    <t>EBITDA base</t>
  </si>
  <si>
    <t>EBITDA opt</t>
  </si>
  <si>
    <t>EBITDA pes</t>
  </si>
  <si>
    <t>capital intens base</t>
  </si>
  <si>
    <t>capital intens pes</t>
  </si>
  <si>
    <t>capital intens opt</t>
  </si>
  <si>
    <t>CAPEX base</t>
  </si>
  <si>
    <t>CAPEX opt</t>
  </si>
  <si>
    <t>CAPEX pes</t>
  </si>
  <si>
    <t>D&amp;A base</t>
  </si>
  <si>
    <t>D&amp;A pes</t>
  </si>
  <si>
    <t>D&amp;A opt</t>
  </si>
  <si>
    <t>NOF/ingresos base</t>
  </si>
  <si>
    <t>NOF/Ingresos opt</t>
  </si>
  <si>
    <t>NOF/Ingresos pes</t>
  </si>
  <si>
    <t xml:space="preserve">NOF </t>
  </si>
  <si>
    <t>-A(NOF)</t>
  </si>
  <si>
    <t>BASE</t>
  </si>
  <si>
    <t>no info</t>
  </si>
  <si>
    <t>OPTIMISTA</t>
  </si>
  <si>
    <t>PESIMISTA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</si>
</sst>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\ [$€-C0A]_-;\-* #,##0.00\ [$€-C0A]_-;_-* &quot;-&quot;??\ [$€-C0A]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C85B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/>
    <xf numFmtId="10" fontId="0" fillId="0" borderId="0" xfId="1" applyNumberFormat="1" applyFon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quotePrefix="1" applyAlignment="1">
      <alignment vertical="center" wrapText="1"/>
    </xf>
    <xf numFmtId="3" fontId="1" fillId="0" borderId="0" xfId="0" applyNumberFormat="1" applyFont="1"/>
    <xf numFmtId="10" fontId="1" fillId="0" borderId="0" xfId="1" applyNumberFormat="1" applyFont="1"/>
    <xf numFmtId="9" fontId="0" fillId="0" borderId="0" xfId="1" applyFont="1" applyAlignment="1">
      <alignment vertical="center" wrapText="1"/>
    </xf>
    <xf numFmtId="166" fontId="0" fillId="0" borderId="0" xfId="1" applyNumberFormat="1" applyFont="1"/>
    <xf numFmtId="166" fontId="1" fillId="0" borderId="0" xfId="1" applyNumberFormat="1" applyFont="1"/>
    <xf numFmtId="10" fontId="1" fillId="0" borderId="0" xfId="0" applyNumberFormat="1" applyFont="1"/>
    <xf numFmtId="166" fontId="0" fillId="0" borderId="0" xfId="0" applyNumberFormat="1"/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0" fontId="0" fillId="0" borderId="1" xfId="1" applyNumberFormat="1" applyFont="1" applyBorder="1"/>
    <xf numFmtId="0" fontId="0" fillId="0" borderId="1" xfId="0" applyBorder="1"/>
    <xf numFmtId="166" fontId="0" fillId="0" borderId="1" xfId="0" applyNumberFormat="1" applyBorder="1"/>
    <xf numFmtId="0" fontId="0" fillId="0" borderId="0" xfId="0" applyAlignment="1"/>
    <xf numFmtId="0" fontId="0" fillId="3" borderId="0" xfId="0" applyFill="1"/>
    <xf numFmtId="3" fontId="0" fillId="0" borderId="0" xfId="0" applyNumberForma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0" fontId="0" fillId="0" borderId="0" xfId="1" applyNumberFormat="1" applyFont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0" fillId="0" borderId="0" xfId="0" applyNumberFormat="1"/>
    <xf numFmtId="0" fontId="0" fillId="4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3" fontId="1" fillId="6" borderId="0" xfId="0" applyNumberFormat="1" applyFont="1" applyFill="1" applyAlignment="1">
      <alignment vertical="center" wrapText="1"/>
    </xf>
    <xf numFmtId="3" fontId="1" fillId="6" borderId="1" xfId="0" applyNumberFormat="1" applyFont="1" applyFill="1" applyBorder="1" applyAlignment="1">
      <alignment vertical="center" wrapText="1"/>
    </xf>
    <xf numFmtId="10" fontId="1" fillId="6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0" fontId="0" fillId="0" borderId="0" xfId="1" applyNumberFormat="1" applyFont="1" applyBorder="1" applyAlignment="1">
      <alignment horizontal="center" vertical="center"/>
    </xf>
    <xf numFmtId="0" fontId="0" fillId="2" borderId="0" xfId="0" applyFill="1"/>
    <xf numFmtId="0" fontId="0" fillId="5" borderId="0" xfId="0" applyFill="1"/>
    <xf numFmtId="10" fontId="2" fillId="0" borderId="0" xfId="1" applyNumberFormat="1" applyFont="1"/>
    <xf numFmtId="0" fontId="0" fillId="0" borderId="0" xfId="0" applyBorder="1"/>
    <xf numFmtId="3" fontId="0" fillId="0" borderId="0" xfId="0" applyNumberFormat="1" applyFont="1"/>
    <xf numFmtId="0" fontId="0" fillId="0" borderId="0" xfId="0" applyFont="1"/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5" fontId="4" fillId="7" borderId="0" xfId="0" applyNumberFormat="1" applyFont="1" applyFill="1"/>
    <xf numFmtId="165" fontId="1" fillId="7" borderId="0" xfId="0" applyNumberFormat="1" applyFont="1" applyFill="1"/>
    <xf numFmtId="10" fontId="1" fillId="0" borderId="0" xfId="0" applyNumberFormat="1" applyFont="1" applyAlignment="1">
      <alignment vertical="center" wrapText="1"/>
    </xf>
    <xf numFmtId="10" fontId="4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FF"/>
      <color rgb="FFF3C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tabSelected="1" topLeftCell="A36" zoomScale="109" workbookViewId="0">
      <selection activeCell="Y55" sqref="Y55"/>
    </sheetView>
  </sheetViews>
  <sheetFormatPr baseColWidth="10" defaultColWidth="8.88671875" defaultRowHeight="14.4" x14ac:dyDescent="0.3"/>
  <cols>
    <col min="2" max="2" width="18" customWidth="1"/>
    <col min="3" max="3" width="8.88671875" customWidth="1"/>
    <col min="4" max="4" width="11.44140625" bestFit="1" customWidth="1"/>
    <col min="6" max="9" width="9.21875" bestFit="1" customWidth="1"/>
    <col min="10" max="10" width="17.44140625" customWidth="1"/>
    <col min="11" max="11" width="16.6640625" customWidth="1"/>
    <col min="12" max="12" width="11" customWidth="1"/>
    <col min="13" max="13" width="9.109375" bestFit="1" customWidth="1"/>
    <col min="18" max="18" width="16" customWidth="1"/>
    <col min="19" max="19" width="15.77734375" customWidth="1"/>
    <col min="20" max="20" width="12.44140625" customWidth="1"/>
    <col min="21" max="22" width="9" customWidth="1"/>
    <col min="30" max="30" width="9.109375" bestFit="1" customWidth="1"/>
  </cols>
  <sheetData>
    <row r="2" spans="2:13" s="5" customFormat="1" x14ac:dyDescent="0.3">
      <c r="B2" s="19" t="s">
        <v>40</v>
      </c>
      <c r="C2" s="39" t="s">
        <v>1</v>
      </c>
      <c r="D2" s="39" t="s">
        <v>2</v>
      </c>
      <c r="E2" s="40" t="s">
        <v>3</v>
      </c>
      <c r="F2" s="39" t="s">
        <v>4</v>
      </c>
      <c r="G2" s="39" t="s">
        <v>5</v>
      </c>
      <c r="H2" s="39" t="s">
        <v>6</v>
      </c>
      <c r="I2" s="39" t="s">
        <v>38</v>
      </c>
      <c r="J2" s="39" t="s">
        <v>41</v>
      </c>
      <c r="K2" s="41" t="s">
        <v>39</v>
      </c>
      <c r="L2" s="41" t="s">
        <v>17</v>
      </c>
    </row>
    <row r="3" spans="2:13" s="5" customFormat="1" x14ac:dyDescent="0.3">
      <c r="B3" s="18" t="s">
        <v>43</v>
      </c>
      <c r="C3" s="3"/>
      <c r="D3" s="3"/>
      <c r="E3" s="20"/>
      <c r="F3" s="13">
        <v>0.35</v>
      </c>
      <c r="G3" s="13">
        <v>0.27</v>
      </c>
      <c r="H3" s="13">
        <v>0.2</v>
      </c>
      <c r="I3" s="13">
        <v>0.15</v>
      </c>
      <c r="J3" s="13">
        <v>0.1</v>
      </c>
      <c r="K3" s="4"/>
      <c r="L3" s="4"/>
      <c r="M3"/>
    </row>
    <row r="4" spans="2:13" s="5" customFormat="1" x14ac:dyDescent="0.3">
      <c r="B4" s="30" t="s">
        <v>45</v>
      </c>
      <c r="C4" s="3"/>
      <c r="D4" s="3"/>
      <c r="E4" s="20"/>
      <c r="F4" s="13">
        <v>0.45</v>
      </c>
      <c r="G4" s="13">
        <v>0.38</v>
      </c>
      <c r="H4" s="13">
        <v>0.3</v>
      </c>
      <c r="I4" s="13">
        <v>0.24</v>
      </c>
      <c r="J4" s="13">
        <v>0.18</v>
      </c>
      <c r="K4" s="4"/>
      <c r="L4" s="4"/>
      <c r="M4"/>
    </row>
    <row r="5" spans="2:13" s="5" customFormat="1" x14ac:dyDescent="0.3">
      <c r="B5" s="31" t="s">
        <v>46</v>
      </c>
      <c r="C5" s="3"/>
      <c r="D5" s="3"/>
      <c r="E5" s="20"/>
      <c r="F5" s="13">
        <v>0.2</v>
      </c>
      <c r="G5" s="13">
        <v>0.15</v>
      </c>
      <c r="H5" s="13">
        <v>0.1</v>
      </c>
      <c r="I5" s="13">
        <v>0.06</v>
      </c>
      <c r="J5" s="13">
        <v>0.03</v>
      </c>
      <c r="K5" s="4"/>
      <c r="L5" s="4"/>
      <c r="M5"/>
    </row>
    <row r="6" spans="2:13" s="5" customFormat="1" x14ac:dyDescent="0.3">
      <c r="B6" s="18" t="s">
        <v>44</v>
      </c>
      <c r="C6" s="26">
        <v>60922</v>
      </c>
      <c r="D6" s="26">
        <v>130497</v>
      </c>
      <c r="E6" s="27">
        <v>215938</v>
      </c>
      <c r="F6" s="3">
        <f>E6*(1+F3)</f>
        <v>291516.30000000005</v>
      </c>
      <c r="G6" s="3">
        <f>F6*(1+G3)</f>
        <v>370225.70100000006</v>
      </c>
      <c r="H6" s="3">
        <f>G6*(1+H3)</f>
        <v>444270.84120000008</v>
      </c>
      <c r="I6" s="3">
        <f>H6*(1+I3)</f>
        <v>510911.46738000005</v>
      </c>
      <c r="J6" s="3">
        <f>I6*(1+J3)</f>
        <v>562002.61411800014</v>
      </c>
      <c r="K6" s="4">
        <v>-0.01</v>
      </c>
      <c r="L6" s="55">
        <f>(J6/E6)^(1/6)-1</f>
        <v>0.17282948827516753</v>
      </c>
      <c r="M6" t="s">
        <v>49</v>
      </c>
    </row>
    <row r="7" spans="2:13" s="5" customFormat="1" x14ac:dyDescent="0.3">
      <c r="B7" s="30" t="s">
        <v>47</v>
      </c>
      <c r="C7" s="26"/>
      <c r="D7" s="26"/>
      <c r="E7" s="27"/>
      <c r="F7" s="3">
        <f>E6*(1+F4)</f>
        <v>313110.09999999998</v>
      </c>
      <c r="G7" s="3">
        <f t="shared" ref="G7:J7" si="0">F7*(1+G4)</f>
        <v>432091.93799999991</v>
      </c>
      <c r="H7" s="3">
        <f t="shared" si="0"/>
        <v>561719.51939999987</v>
      </c>
      <c r="I7" s="3">
        <f t="shared" si="0"/>
        <v>696532.20405599987</v>
      </c>
      <c r="J7" s="3">
        <f t="shared" si="0"/>
        <v>821908.00078607979</v>
      </c>
      <c r="K7" s="4"/>
      <c r="L7" s="55">
        <f>(J7/E6)^(1/6)-1</f>
        <v>0.24953671718159565</v>
      </c>
      <c r="M7" t="s">
        <v>49</v>
      </c>
    </row>
    <row r="8" spans="2:13" s="5" customFormat="1" x14ac:dyDescent="0.3">
      <c r="B8" s="31" t="s">
        <v>48</v>
      </c>
      <c r="C8" s="26"/>
      <c r="D8" s="26"/>
      <c r="E8" s="27"/>
      <c r="F8" s="3">
        <f>E6*(1+F5)</f>
        <v>259125.59999999998</v>
      </c>
      <c r="G8" s="3">
        <f t="shared" ref="G8:J8" si="1">F6*(1+G5)</f>
        <v>335243.74500000005</v>
      </c>
      <c r="H8" s="3">
        <f t="shared" si="1"/>
        <v>407248.27110000007</v>
      </c>
      <c r="I8" s="3">
        <f t="shared" si="1"/>
        <v>470927.09167200013</v>
      </c>
      <c r="J8" s="3">
        <f t="shared" si="1"/>
        <v>526238.81140140002</v>
      </c>
      <c r="K8" s="4"/>
      <c r="L8" s="55">
        <f>(J8/E6)^(1/6)-1</f>
        <v>0.16004712859090531</v>
      </c>
      <c r="M8" t="s">
        <v>49</v>
      </c>
    </row>
    <row r="9" spans="2:13" x14ac:dyDescent="0.3">
      <c r="B9" s="18" t="s">
        <v>56</v>
      </c>
      <c r="C9" s="26">
        <v>34480</v>
      </c>
      <c r="D9" s="26">
        <v>83317</v>
      </c>
      <c r="E9" s="27">
        <v>133230</v>
      </c>
      <c r="F9" s="3">
        <f>F12+F19</f>
        <v>150830.78939518117</v>
      </c>
      <c r="G9" s="3">
        <f t="shared" ref="G9:I9" si="2">G12+G19</f>
        <v>190647.79220708334</v>
      </c>
      <c r="H9" s="3">
        <f t="shared" si="2"/>
        <v>228876.02749558538</v>
      </c>
      <c r="I9" s="3">
        <f t="shared" si="2"/>
        <v>263549.14211989753</v>
      </c>
      <c r="J9" s="3"/>
      <c r="K9" s="4">
        <v>0</v>
      </c>
      <c r="L9" s="55">
        <f>(I9/C9)^(1/6)-1</f>
        <v>0.40351069038029075</v>
      </c>
    </row>
    <row r="10" spans="2:13" x14ac:dyDescent="0.3">
      <c r="B10" s="30" t="s">
        <v>57</v>
      </c>
      <c r="C10" s="26"/>
      <c r="D10" s="26"/>
      <c r="E10" s="27"/>
      <c r="F10" s="3">
        <f t="shared" ref="F10:I10" si="3">F13+F20</f>
        <v>193314.45046149084</v>
      </c>
      <c r="G10" s="3">
        <f t="shared" si="3"/>
        <v>265715.01602593967</v>
      </c>
      <c r="H10" s="3">
        <f t="shared" si="3"/>
        <v>345554.28416721203</v>
      </c>
      <c r="I10" s="3">
        <f t="shared" si="3"/>
        <v>428953.17070659058</v>
      </c>
      <c r="J10" s="3"/>
      <c r="K10" s="4"/>
      <c r="L10" s="55">
        <f>(I10/C9)^(1/6)-1</f>
        <v>0.52220719669325177</v>
      </c>
    </row>
    <row r="11" spans="2:13" x14ac:dyDescent="0.3">
      <c r="B11" s="31" t="s">
        <v>58</v>
      </c>
      <c r="C11" s="26"/>
      <c r="D11" s="26"/>
      <c r="E11" s="27"/>
      <c r="F11" s="3">
        <f t="shared" ref="F11:I11" si="4">F14+F21</f>
        <v>102976.74079571657</v>
      </c>
      <c r="G11" s="3">
        <f t="shared" si="4"/>
        <v>132404.5781890912</v>
      </c>
      <c r="H11" s="3">
        <f t="shared" si="4"/>
        <v>160933.23267228663</v>
      </c>
      <c r="I11" s="3">
        <f t="shared" si="4"/>
        <v>186412.30608378735</v>
      </c>
      <c r="J11" s="3"/>
      <c r="K11" s="4"/>
      <c r="L11" s="55">
        <f>(I11/C9)^(1/6)-1</f>
        <v>0.32480274811198595</v>
      </c>
    </row>
    <row r="12" spans="2:13" x14ac:dyDescent="0.3">
      <c r="B12" s="18" t="s">
        <v>53</v>
      </c>
      <c r="C12" s="26">
        <v>32972</v>
      </c>
      <c r="D12" s="26">
        <v>81453</v>
      </c>
      <c r="E12" s="27">
        <v>130387</v>
      </c>
      <c r="F12" s="3">
        <f>F6*F15</f>
        <v>145758.15000000002</v>
      </c>
      <c r="G12" s="3">
        <f t="shared" ref="G12:J12" si="5">G6*G15</f>
        <v>185112.85050000003</v>
      </c>
      <c r="H12" s="3">
        <f t="shared" si="5"/>
        <v>222135.42060000004</v>
      </c>
      <c r="I12" s="3">
        <f t="shared" si="5"/>
        <v>255455.73369000002</v>
      </c>
      <c r="J12" s="3">
        <f t="shared" si="5"/>
        <v>281001.30705900007</v>
      </c>
      <c r="K12" s="4">
        <v>0.02</v>
      </c>
      <c r="L12" s="55">
        <f>(I12/C12)^(1/6)-1</f>
        <v>0.40667918329962194</v>
      </c>
    </row>
    <row r="13" spans="2:13" x14ac:dyDescent="0.3">
      <c r="B13" s="30" t="s">
        <v>54</v>
      </c>
      <c r="C13" s="26"/>
      <c r="D13" s="26"/>
      <c r="E13" s="27"/>
      <c r="F13" s="3">
        <f t="shared" ref="F13:J13" si="6">F7*F16</f>
        <v>187866.05999999997</v>
      </c>
      <c r="G13" s="3">
        <f t="shared" si="6"/>
        <v>259255.16279999993</v>
      </c>
      <c r="H13" s="3">
        <f t="shared" si="6"/>
        <v>337031.71163999994</v>
      </c>
      <c r="I13" s="3">
        <f t="shared" si="6"/>
        <v>417919.32243359991</v>
      </c>
      <c r="J13" s="3">
        <f t="shared" si="6"/>
        <v>493144.80047164788</v>
      </c>
      <c r="K13" s="4"/>
      <c r="L13" s="55">
        <f>(I13/C12)^(1/6)-1</f>
        <v>0.52694898161757719</v>
      </c>
    </row>
    <row r="14" spans="2:13" x14ac:dyDescent="0.3">
      <c r="B14" s="31" t="s">
        <v>55</v>
      </c>
      <c r="C14" s="26"/>
      <c r="D14" s="26"/>
      <c r="E14" s="27"/>
      <c r="F14" s="3">
        <f t="shared" ref="F14:J14" si="7">F8*F17</f>
        <v>98467.727999999988</v>
      </c>
      <c r="G14" s="3">
        <f t="shared" si="7"/>
        <v>127392.62310000003</v>
      </c>
      <c r="H14" s="3">
        <f t="shared" si="7"/>
        <v>154754.34301800004</v>
      </c>
      <c r="I14" s="3">
        <f t="shared" si="7"/>
        <v>178952.29483536005</v>
      </c>
      <c r="J14" s="3">
        <f t="shared" si="7"/>
        <v>199970.74833253201</v>
      </c>
      <c r="K14" s="4"/>
      <c r="L14" s="55">
        <f>(I14/C12)^(1/6)-1</f>
        <v>0.32565952559034161</v>
      </c>
    </row>
    <row r="15" spans="2:13" x14ac:dyDescent="0.3">
      <c r="B15" s="18" t="s">
        <v>50</v>
      </c>
      <c r="C15" s="28">
        <f>C12/C6</f>
        <v>0.54121663766783756</v>
      </c>
      <c r="D15" s="28">
        <f>D12/D6</f>
        <v>0.62417526839697468</v>
      </c>
      <c r="E15" s="29">
        <f>E12/E6</f>
        <v>0.60381683631412719</v>
      </c>
      <c r="F15" s="13">
        <v>0.5</v>
      </c>
      <c r="G15" s="13">
        <v>0.5</v>
      </c>
      <c r="H15" s="13">
        <v>0.5</v>
      </c>
      <c r="I15" s="13">
        <v>0.5</v>
      </c>
      <c r="J15" s="13">
        <v>0.5</v>
      </c>
      <c r="K15" s="4"/>
      <c r="L15" s="4"/>
    </row>
    <row r="16" spans="2:13" x14ac:dyDescent="0.3">
      <c r="B16" s="30" t="s">
        <v>51</v>
      </c>
      <c r="C16" s="28"/>
      <c r="D16" s="28"/>
      <c r="E16" s="29"/>
      <c r="F16" s="13">
        <v>0.6</v>
      </c>
      <c r="G16" s="13">
        <v>0.6</v>
      </c>
      <c r="H16" s="13">
        <v>0.6</v>
      </c>
      <c r="I16" s="13">
        <v>0.6</v>
      </c>
      <c r="J16" s="13">
        <v>0.6</v>
      </c>
      <c r="K16" s="4"/>
      <c r="L16" s="4"/>
    </row>
    <row r="17" spans="2:13" x14ac:dyDescent="0.3">
      <c r="B17" s="31" t="s">
        <v>52</v>
      </c>
      <c r="C17" s="28"/>
      <c r="D17" s="28"/>
      <c r="E17" s="29"/>
      <c r="F17" s="13">
        <v>0.38</v>
      </c>
      <c r="G17" s="13">
        <v>0.38</v>
      </c>
      <c r="H17" s="13">
        <v>0.38</v>
      </c>
      <c r="I17" s="13">
        <v>0.38</v>
      </c>
      <c r="J17" s="13">
        <v>0.38</v>
      </c>
      <c r="K17" s="4"/>
      <c r="L17" s="4"/>
    </row>
    <row r="18" spans="2:13" x14ac:dyDescent="0.3">
      <c r="B18" s="37" t="s">
        <v>7</v>
      </c>
      <c r="C18" s="3">
        <v>-28</v>
      </c>
      <c r="D18" s="3">
        <v>67</v>
      </c>
      <c r="E18" s="20">
        <v>133</v>
      </c>
      <c r="F18" s="2">
        <v>181</v>
      </c>
      <c r="G18" s="2">
        <v>268</v>
      </c>
      <c r="H18" s="2">
        <v>358</v>
      </c>
      <c r="I18" s="2">
        <v>359</v>
      </c>
      <c r="J18" s="2"/>
      <c r="K18" s="13">
        <v>0.03</v>
      </c>
      <c r="L18" s="13"/>
    </row>
    <row r="19" spans="2:13" x14ac:dyDescent="0.3">
      <c r="B19" s="18" t="s">
        <v>65</v>
      </c>
      <c r="C19" s="3">
        <v>1508</v>
      </c>
      <c r="D19" s="3">
        <v>1864</v>
      </c>
      <c r="E19" s="20">
        <v>2843</v>
      </c>
      <c r="F19" s="3">
        <f t="shared" ref="F19:I19" si="8">F22*F6</f>
        <v>5072.6393951811506</v>
      </c>
      <c r="G19" s="3">
        <f t="shared" si="8"/>
        <v>5534.9417070833106</v>
      </c>
      <c r="H19" s="3">
        <f t="shared" si="8"/>
        <v>6740.6068955853489</v>
      </c>
      <c r="I19" s="3">
        <f t="shared" si="8"/>
        <v>8093.408429897534</v>
      </c>
      <c r="J19" s="3">
        <f>J22*J6</f>
        <v>8610.5528357184066</v>
      </c>
      <c r="K19" s="16"/>
      <c r="L19" s="16"/>
    </row>
    <row r="20" spans="2:13" x14ac:dyDescent="0.3">
      <c r="B20" s="30" t="s">
        <v>67</v>
      </c>
      <c r="C20" s="3">
        <v>1508</v>
      </c>
      <c r="D20" s="3">
        <v>1864</v>
      </c>
      <c r="E20" s="20">
        <v>2843</v>
      </c>
      <c r="F20" s="3">
        <f t="shared" ref="F20:I20" si="9">F22*F7</f>
        <v>5448.3904614908643</v>
      </c>
      <c r="G20" s="3">
        <f t="shared" si="9"/>
        <v>6459.8532259397489</v>
      </c>
      <c r="H20" s="3">
        <f t="shared" si="9"/>
        <v>8522.5725272120926</v>
      </c>
      <c r="I20" s="3">
        <f t="shared" si="9"/>
        <v>11033.848272990663</v>
      </c>
      <c r="J20" s="3">
        <f>J22*J7</f>
        <v>12592.614498733088</v>
      </c>
      <c r="K20" s="16"/>
      <c r="L20" s="16"/>
    </row>
    <row r="21" spans="2:13" x14ac:dyDescent="0.3">
      <c r="B21" s="31" t="s">
        <v>66</v>
      </c>
      <c r="C21" s="3">
        <f>C9-C12</f>
        <v>1508</v>
      </c>
      <c r="D21" s="3">
        <f>D9-D12</f>
        <v>1864</v>
      </c>
      <c r="E21" s="20">
        <f>E9-E12</f>
        <v>2843</v>
      </c>
      <c r="F21" s="3">
        <f t="shared" ref="F21:I21" si="10">F22*F8</f>
        <v>4509.0127957165778</v>
      </c>
      <c r="G21" s="3">
        <f t="shared" si="10"/>
        <v>5011.9550890911869</v>
      </c>
      <c r="H21" s="3">
        <f t="shared" si="10"/>
        <v>6178.8896542865696</v>
      </c>
      <c r="I21" s="3">
        <f t="shared" si="10"/>
        <v>7460.011248427294</v>
      </c>
      <c r="J21" s="3">
        <f>J22*J8</f>
        <v>8062.6085643545057</v>
      </c>
      <c r="K21" t="s">
        <v>74</v>
      </c>
      <c r="L21">
        <f>(H21/C21)^(1/5)-1</f>
        <v>0.32587267280848198</v>
      </c>
    </row>
    <row r="22" spans="2:13" x14ac:dyDescent="0.3">
      <c r="B22" s="38" t="s">
        <v>19</v>
      </c>
      <c r="C22" s="6">
        <f>C21/C6</f>
        <v>2.4752962804898065E-2</v>
      </c>
      <c r="D22" s="6">
        <f>D21/D6</f>
        <v>1.4283853268657517E-2</v>
      </c>
      <c r="E22" s="21">
        <f>E21/E6</f>
        <v>1.3165816113884541E-2</v>
      </c>
      <c r="F22" s="6">
        <f>AVERAGE(C22:E22)</f>
        <v>1.7400877395813374E-2</v>
      </c>
      <c r="G22" s="6">
        <f>AVERAGE(D22:F22)</f>
        <v>1.4950182259451808E-2</v>
      </c>
      <c r="H22" s="6">
        <f t="shared" ref="H22:J22" si="11">AVERAGE(E22:G22)</f>
        <v>1.5172291923049907E-2</v>
      </c>
      <c r="I22" s="6">
        <f t="shared" si="11"/>
        <v>1.5841117192771696E-2</v>
      </c>
      <c r="J22" s="6">
        <f t="shared" si="11"/>
        <v>1.5321197125091135E-2</v>
      </c>
      <c r="K22" t="s">
        <v>74</v>
      </c>
      <c r="M22" t="s">
        <v>20</v>
      </c>
    </row>
    <row r="23" spans="2:13" x14ac:dyDescent="0.3">
      <c r="B23" s="18" t="s">
        <v>62</v>
      </c>
      <c r="C23" s="34">
        <v>-1069</v>
      </c>
      <c r="D23" s="34">
        <v>-3236</v>
      </c>
      <c r="E23" s="35">
        <v>-6042</v>
      </c>
      <c r="F23" s="36">
        <f>-F26*F6</f>
        <v>-10203.070500000003</v>
      </c>
      <c r="G23" s="36">
        <f>-G26*G6</f>
        <v>-12957.899535000004</v>
      </c>
      <c r="H23" s="36">
        <f>-H26*H6</f>
        <v>-15549.479442000003</v>
      </c>
      <c r="I23" s="36">
        <f>-I26*I6</f>
        <v>-17881.901358300005</v>
      </c>
      <c r="J23" s="36">
        <f>-J26*J6</f>
        <v>-19670.091494130007</v>
      </c>
      <c r="K23" s="8">
        <v>3.5000000000000003E-2</v>
      </c>
      <c r="L23" s="8">
        <f>(H23/C23)^(1/5)-1</f>
        <v>0.70823505500619111</v>
      </c>
    </row>
    <row r="24" spans="2:13" x14ac:dyDescent="0.3">
      <c r="B24" s="30" t="s">
        <v>63</v>
      </c>
      <c r="C24" s="34"/>
      <c r="D24" s="34"/>
      <c r="E24" s="35"/>
      <c r="F24" s="36">
        <f>-F27*F7</f>
        <v>-14089.954499999998</v>
      </c>
      <c r="G24" s="36">
        <f>-G27*G7</f>
        <v>-19444.137209999994</v>
      </c>
      <c r="H24" s="36">
        <f>-H27*H7</f>
        <v>-25277.378372999992</v>
      </c>
      <c r="I24" s="36">
        <f>-I27*I7</f>
        <v>-31343.949182519995</v>
      </c>
      <c r="J24" s="36">
        <f>-J27*J7</f>
        <v>-36985.860035373589</v>
      </c>
      <c r="K24" s="8"/>
      <c r="L24" s="8"/>
    </row>
    <row r="25" spans="2:13" x14ac:dyDescent="0.3">
      <c r="B25" s="31" t="s">
        <v>64</v>
      </c>
      <c r="C25" s="34"/>
      <c r="D25" s="34"/>
      <c r="E25" s="35"/>
      <c r="F25" s="36">
        <f>-F28*F8</f>
        <v>-7773.7679999999991</v>
      </c>
      <c r="G25" s="36">
        <f>-G28*G8</f>
        <v>-10057.312350000002</v>
      </c>
      <c r="H25" s="36">
        <f>-H28*H8</f>
        <v>-12217.448133000002</v>
      </c>
      <c r="I25" s="36">
        <f>-I28*I8</f>
        <v>-14127.812750160003</v>
      </c>
      <c r="J25" s="36">
        <f>-J28*J8</f>
        <v>-15787.164342042</v>
      </c>
      <c r="K25" s="8"/>
      <c r="L25" s="8"/>
    </row>
    <row r="26" spans="2:13" x14ac:dyDescent="0.3">
      <c r="B26" s="18" t="s">
        <v>59</v>
      </c>
      <c r="C26" s="32">
        <f>-C23/C6</f>
        <v>1.7547027346442992E-2</v>
      </c>
      <c r="D26" s="32">
        <f>-D23/D6</f>
        <v>2.4797504923484832E-2</v>
      </c>
      <c r="E26" s="33">
        <f>-E23/E6</f>
        <v>2.7980253591308617E-2</v>
      </c>
      <c r="F26" s="14">
        <v>3.5000000000000003E-2</v>
      </c>
      <c r="G26" s="14">
        <v>3.5000000000000003E-2</v>
      </c>
      <c r="H26" s="14">
        <v>3.5000000000000003E-2</v>
      </c>
      <c r="I26" s="14">
        <v>3.5000000000000003E-2</v>
      </c>
      <c r="J26" s="14">
        <v>3.5000000000000003E-2</v>
      </c>
      <c r="K26" s="15">
        <f>AVERAGE(E26:I26)</f>
        <v>3.359605071826173E-2</v>
      </c>
      <c r="L26" s="15"/>
    </row>
    <row r="27" spans="2:13" x14ac:dyDescent="0.3">
      <c r="B27" s="30" t="s">
        <v>61</v>
      </c>
      <c r="C27" s="32"/>
      <c r="D27" s="32"/>
      <c r="E27" s="33"/>
      <c r="F27" s="14">
        <v>4.4999999999999998E-2</v>
      </c>
      <c r="G27" s="14">
        <v>4.4999999999999998E-2</v>
      </c>
      <c r="H27" s="14">
        <v>4.4999999999999998E-2</v>
      </c>
      <c r="I27" s="14">
        <v>4.4999999999999998E-2</v>
      </c>
      <c r="J27" s="14">
        <v>4.4999999999999998E-2</v>
      </c>
      <c r="K27" s="15"/>
      <c r="L27" s="15"/>
    </row>
    <row r="28" spans="2:13" x14ac:dyDescent="0.3">
      <c r="B28" s="31" t="s">
        <v>60</v>
      </c>
      <c r="C28" s="32"/>
      <c r="D28" s="32"/>
      <c r="E28" s="33"/>
      <c r="F28" s="14">
        <v>0.03</v>
      </c>
      <c r="G28" s="14">
        <v>0.03</v>
      </c>
      <c r="H28" s="14">
        <v>0.03</v>
      </c>
      <c r="I28" s="14">
        <v>0.03</v>
      </c>
      <c r="J28" s="14">
        <v>0.03</v>
      </c>
      <c r="K28" s="15"/>
      <c r="L28" s="15"/>
    </row>
    <row r="29" spans="2:13" x14ac:dyDescent="0.3">
      <c r="B29" s="43" t="s">
        <v>71</v>
      </c>
      <c r="C29" s="3">
        <v>-4789</v>
      </c>
      <c r="D29" s="3">
        <v>-14253</v>
      </c>
      <c r="E29" s="20">
        <v>-23222</v>
      </c>
      <c r="F29" s="14"/>
      <c r="G29" s="14"/>
      <c r="H29" s="14"/>
      <c r="I29" s="14"/>
      <c r="J29" s="14"/>
      <c r="K29" s="15"/>
      <c r="L29" s="15"/>
    </row>
    <row r="30" spans="2:13" x14ac:dyDescent="0.3">
      <c r="B30" s="18" t="s">
        <v>68</v>
      </c>
      <c r="C30" s="44">
        <f>-C29/C6</f>
        <v>7.8608712780276424E-2</v>
      </c>
      <c r="D30" s="44">
        <f>-D29/D6</f>
        <v>0.10922090162992253</v>
      </c>
      <c r="E30" s="33">
        <f>-E29/E6</f>
        <v>0.1075401272587502</v>
      </c>
      <c r="F30" s="14">
        <v>0.22</v>
      </c>
      <c r="G30" s="14">
        <v>0.2</v>
      </c>
      <c r="H30" s="14">
        <v>0.17</v>
      </c>
      <c r="I30" s="14">
        <v>0.15</v>
      </c>
      <c r="J30" s="14">
        <v>0.12</v>
      </c>
      <c r="K30" s="15"/>
      <c r="L30" s="15"/>
    </row>
    <row r="31" spans="2:13" x14ac:dyDescent="0.3">
      <c r="B31" s="30" t="s">
        <v>69</v>
      </c>
      <c r="C31" s="44"/>
      <c r="D31" s="44"/>
      <c r="E31" s="33"/>
      <c r="F31" s="14">
        <v>0.18</v>
      </c>
      <c r="G31" s="14">
        <v>0.15</v>
      </c>
      <c r="H31" s="14">
        <v>0.13</v>
      </c>
      <c r="I31" s="14">
        <v>0.1</v>
      </c>
      <c r="J31" s="14">
        <v>0.08</v>
      </c>
      <c r="K31" s="15"/>
      <c r="L31" s="15"/>
    </row>
    <row r="32" spans="2:13" x14ac:dyDescent="0.3">
      <c r="B32" s="31" t="s">
        <v>70</v>
      </c>
      <c r="C32" s="44"/>
      <c r="D32" s="44"/>
      <c r="E32" s="33"/>
      <c r="F32" s="14">
        <v>0.25</v>
      </c>
      <c r="G32" s="14">
        <v>0.22</v>
      </c>
      <c r="H32" s="14">
        <v>0.21</v>
      </c>
      <c r="I32" s="14">
        <v>0.19</v>
      </c>
      <c r="J32" s="14">
        <v>0.18</v>
      </c>
      <c r="K32" s="15"/>
      <c r="L32" s="15"/>
    </row>
    <row r="33" spans="2:25" x14ac:dyDescent="0.3">
      <c r="B33" s="38" t="s">
        <v>22</v>
      </c>
      <c r="C33" s="9">
        <v>0.12</v>
      </c>
      <c r="D33" s="17">
        <v>0.13400000000000001</v>
      </c>
      <c r="E33" s="23">
        <v>0.14099999999999999</v>
      </c>
      <c r="F33" s="9">
        <v>0.15266666666666701</v>
      </c>
      <c r="G33" s="17">
        <v>0.16316666666666699</v>
      </c>
      <c r="H33" s="23">
        <v>0.173666666666667</v>
      </c>
      <c r="I33" s="9">
        <v>0.18416666666666701</v>
      </c>
      <c r="J33" s="17">
        <v>0.19466666666666699</v>
      </c>
      <c r="K33" t="s">
        <v>42</v>
      </c>
    </row>
    <row r="34" spans="2:25" x14ac:dyDescent="0.3">
      <c r="B34" s="38" t="s">
        <v>24</v>
      </c>
      <c r="C34" s="8">
        <v>0.1293</v>
      </c>
      <c r="E34" s="22"/>
    </row>
    <row r="35" spans="2:25" x14ac:dyDescent="0.3">
      <c r="B35" s="38" t="s">
        <v>33</v>
      </c>
      <c r="C35" s="17">
        <v>0.03</v>
      </c>
      <c r="E35" s="22"/>
    </row>
    <row r="36" spans="2:25" x14ac:dyDescent="0.3">
      <c r="N36" s="24"/>
      <c r="O36" s="24"/>
      <c r="P36" s="24"/>
      <c r="Q36" s="24"/>
      <c r="R36" s="24"/>
    </row>
    <row r="37" spans="2:25" x14ac:dyDescent="0.3">
      <c r="B37" s="2"/>
      <c r="C37" s="7"/>
      <c r="E37" s="7"/>
      <c r="G37" s="7"/>
      <c r="M37" s="48"/>
      <c r="N37" s="48"/>
      <c r="O37" s="48"/>
      <c r="P37" s="48"/>
      <c r="Q37" s="48"/>
      <c r="R37" s="48"/>
    </row>
    <row r="38" spans="2:25" x14ac:dyDescent="0.3">
      <c r="C38" s="25">
        <v>2026</v>
      </c>
      <c r="D38" s="25">
        <v>2027</v>
      </c>
      <c r="E38" s="25">
        <v>2028</v>
      </c>
      <c r="F38" s="25">
        <v>2029</v>
      </c>
      <c r="G38" s="25">
        <v>2030</v>
      </c>
      <c r="H38" s="25">
        <v>2031</v>
      </c>
      <c r="I38" s="25" t="s">
        <v>17</v>
      </c>
      <c r="K38" s="45">
        <v>2026</v>
      </c>
      <c r="L38" s="45">
        <v>2027</v>
      </c>
      <c r="M38" s="45">
        <v>2028</v>
      </c>
      <c r="N38" s="45">
        <v>2029</v>
      </c>
      <c r="O38" s="45">
        <v>2030</v>
      </c>
      <c r="P38" s="45">
        <v>2031</v>
      </c>
      <c r="Q38" s="45" t="s">
        <v>17</v>
      </c>
      <c r="S38" s="46">
        <v>2026</v>
      </c>
      <c r="T38" s="46">
        <v>2027</v>
      </c>
      <c r="U38" s="46">
        <v>2028</v>
      </c>
      <c r="V38" s="46">
        <v>2029</v>
      </c>
      <c r="W38" s="46">
        <v>2030</v>
      </c>
      <c r="X38" s="46">
        <v>2031</v>
      </c>
      <c r="Y38" s="46" t="s">
        <v>17</v>
      </c>
    </row>
    <row r="39" spans="2:25" x14ac:dyDescent="0.3">
      <c r="B39" t="s">
        <v>73</v>
      </c>
      <c r="C39">
        <v>0</v>
      </c>
      <c r="D39">
        <v>1</v>
      </c>
      <c r="E39">
        <v>2</v>
      </c>
      <c r="F39">
        <v>3</v>
      </c>
      <c r="G39">
        <v>4</v>
      </c>
      <c r="H39">
        <v>5</v>
      </c>
      <c r="J39" t="s">
        <v>75</v>
      </c>
      <c r="K39">
        <v>0</v>
      </c>
      <c r="L39">
        <v>1</v>
      </c>
      <c r="M39">
        <v>2</v>
      </c>
      <c r="N39">
        <v>3</v>
      </c>
      <c r="O39">
        <v>4</v>
      </c>
      <c r="P39">
        <v>5</v>
      </c>
      <c r="R39" t="s">
        <v>76</v>
      </c>
      <c r="S39">
        <v>0</v>
      </c>
      <c r="T39">
        <v>1</v>
      </c>
      <c r="U39">
        <v>2</v>
      </c>
      <c r="V39">
        <v>3</v>
      </c>
      <c r="W39">
        <v>4</v>
      </c>
      <c r="X39">
        <v>5</v>
      </c>
    </row>
    <row r="40" spans="2:25" x14ac:dyDescent="0.3">
      <c r="B40" s="2" t="s">
        <v>37</v>
      </c>
      <c r="C40" s="7"/>
      <c r="D40" s="7">
        <f>F12*(1-F33)</f>
        <v>123505.73909999998</v>
      </c>
      <c r="E40" s="7">
        <f>G12*(1-G33)</f>
        <v>154908.60372674995</v>
      </c>
      <c r="F40" s="7">
        <f>H12*(1-H33)</f>
        <v>183557.90255579996</v>
      </c>
      <c r="G40" s="7">
        <f>I12*(1-I33)</f>
        <v>208409.30273542492</v>
      </c>
      <c r="H40" s="7">
        <f>J12*(1-J33)</f>
        <v>226299.71928484796</v>
      </c>
      <c r="J40" s="2" t="s">
        <v>37</v>
      </c>
      <c r="K40" s="7"/>
      <c r="L40" s="7">
        <f>F13*(1-F33)</f>
        <v>159185.17483999993</v>
      </c>
      <c r="M40" s="7">
        <f>G13*(1-G33)</f>
        <v>216953.36206979986</v>
      </c>
      <c r="N40" s="7">
        <f>H13*(1-H33)</f>
        <v>278500.53771851986</v>
      </c>
      <c r="O40" s="7">
        <f>I13*(1-I33)</f>
        <v>340952.51388541178</v>
      </c>
      <c r="P40" s="7">
        <f>J13*(1-J33)</f>
        <v>397145.9459798336</v>
      </c>
      <c r="R40" s="2" t="s">
        <v>37</v>
      </c>
      <c r="S40" s="7"/>
      <c r="T40" s="7">
        <f>F14*(1-F33)</f>
        <v>83434.988191999961</v>
      </c>
      <c r="U40" s="7">
        <f>G14*(1-G33)</f>
        <v>106606.39343084997</v>
      </c>
      <c r="V40" s="7">
        <f>H14*(1-H33)</f>
        <v>127878.672113874</v>
      </c>
      <c r="W40" s="7">
        <f>I14*(1-I33)</f>
        <v>145995.24720318118</v>
      </c>
      <c r="X40" s="7">
        <f>J14*(1-J33)</f>
        <v>161043.10932379906</v>
      </c>
    </row>
    <row r="41" spans="2:25" x14ac:dyDescent="0.3">
      <c r="B41" s="2" t="s">
        <v>18</v>
      </c>
      <c r="C41" s="7"/>
      <c r="D41" s="7">
        <f>F19</f>
        <v>5072.6393951811506</v>
      </c>
      <c r="E41" s="7">
        <f t="shared" ref="E41:H41" si="12">G19</f>
        <v>5534.9417070833106</v>
      </c>
      <c r="F41" s="7">
        <f t="shared" si="12"/>
        <v>6740.6068955853489</v>
      </c>
      <c r="G41" s="7">
        <f t="shared" si="12"/>
        <v>8093.408429897534</v>
      </c>
      <c r="H41" s="7">
        <f t="shared" si="12"/>
        <v>8610.5528357184066</v>
      </c>
      <c r="J41" s="2" t="s">
        <v>18</v>
      </c>
      <c r="K41" s="7"/>
      <c r="L41" s="7">
        <f>F20</f>
        <v>5448.3904614908643</v>
      </c>
      <c r="M41" s="7">
        <f t="shared" ref="M41:P41" si="13">G20</f>
        <v>6459.8532259397489</v>
      </c>
      <c r="N41" s="7">
        <f t="shared" si="13"/>
        <v>8522.5725272120926</v>
      </c>
      <c r="O41" s="7">
        <f t="shared" si="13"/>
        <v>11033.848272990663</v>
      </c>
      <c r="P41" s="7">
        <f t="shared" si="13"/>
        <v>12592.614498733088</v>
      </c>
      <c r="R41" s="2" t="s">
        <v>18</v>
      </c>
      <c r="S41" s="7"/>
      <c r="T41" s="7">
        <f t="shared" ref="S41:X41" si="14">L41</f>
        <v>5448.3904614908643</v>
      </c>
      <c r="U41" s="7">
        <f t="shared" si="14"/>
        <v>6459.8532259397489</v>
      </c>
      <c r="V41" s="7">
        <f t="shared" si="14"/>
        <v>8522.5725272120926</v>
      </c>
      <c r="W41" s="7">
        <f t="shared" si="14"/>
        <v>11033.848272990663</v>
      </c>
      <c r="X41" s="7">
        <f t="shared" si="14"/>
        <v>12592.614498733088</v>
      </c>
    </row>
    <row r="42" spans="2:25" x14ac:dyDescent="0.3">
      <c r="B42" s="10" t="s">
        <v>72</v>
      </c>
      <c r="C42" s="7"/>
      <c r="D42" s="7">
        <f>-(F6-E6)*(F30)</f>
        <v>-16627.22600000001</v>
      </c>
      <c r="E42" s="7">
        <f>-(G6-F6)*(G30)</f>
        <v>-15741.880200000003</v>
      </c>
      <c r="F42" s="7">
        <f>-(H6-G6)*(H30)</f>
        <v>-12587.673834000005</v>
      </c>
      <c r="G42" s="7">
        <f>-(I6-H6)*(I30)</f>
        <v>-9996.0939269999944</v>
      </c>
      <c r="H42" s="7">
        <f>-(J6-I6)*(J30)</f>
        <v>-6130.9376085600115</v>
      </c>
      <c r="J42" s="10" t="s">
        <v>72</v>
      </c>
      <c r="K42" s="7"/>
      <c r="L42" s="7">
        <f>-(F7-E6)*(F31)</f>
        <v>-17490.977999999996</v>
      </c>
      <c r="M42" s="7">
        <f>-(G7-F7)*(G31)</f>
        <v>-17847.275699999987</v>
      </c>
      <c r="N42" s="7">
        <f>-(H7-G7)*(H31)</f>
        <v>-16851.585581999996</v>
      </c>
      <c r="O42" s="7">
        <f>-(I7-H7)*(I31)</f>
        <v>-13481.2684656</v>
      </c>
      <c r="P42" s="7">
        <f>-(J7-I7)*(J31)</f>
        <v>-10030.063738406394</v>
      </c>
      <c r="R42" s="10" t="s">
        <v>72</v>
      </c>
      <c r="S42" s="7"/>
      <c r="T42" s="7">
        <f>-(F8-E6)*(F32)</f>
        <v>-10796.899999999994</v>
      </c>
      <c r="U42" s="7">
        <f>-(G8-F8)*(G32)</f>
        <v>-16745.991900000015</v>
      </c>
      <c r="V42" s="7">
        <f>-(H8-G6)*(H32)</f>
        <v>-7774.7397210000017</v>
      </c>
      <c r="W42" s="7">
        <f>-(I8-H8)*(I32)</f>
        <v>-12098.975908680011</v>
      </c>
      <c r="X42" s="7">
        <f>-(J8-I6)*(J32)</f>
        <v>-2758.9219238519945</v>
      </c>
    </row>
    <row r="43" spans="2:25" x14ac:dyDescent="0.3">
      <c r="B43" s="10" t="s">
        <v>23</v>
      </c>
      <c r="C43" s="36"/>
      <c r="D43" s="7">
        <f>F23</f>
        <v>-10203.070500000003</v>
      </c>
      <c r="E43" s="7">
        <f>G23</f>
        <v>-12957.899535000004</v>
      </c>
      <c r="F43" s="7">
        <f>H23</f>
        <v>-15549.479442000003</v>
      </c>
      <c r="G43" s="7">
        <f>I23</f>
        <v>-17881.901358300005</v>
      </c>
      <c r="H43" s="7">
        <f>J23</f>
        <v>-19670.091494130007</v>
      </c>
      <c r="J43" s="10" t="s">
        <v>23</v>
      </c>
      <c r="K43" s="36"/>
      <c r="L43" s="36">
        <f>F24</f>
        <v>-14089.954499999998</v>
      </c>
      <c r="M43" s="36">
        <f>G24</f>
        <v>-19444.137209999994</v>
      </c>
      <c r="N43" s="36">
        <f>H24</f>
        <v>-25277.378372999992</v>
      </c>
      <c r="O43" s="36">
        <f>I24</f>
        <v>-31343.949182519995</v>
      </c>
      <c r="P43" s="36">
        <f>J24</f>
        <v>-36985.860035373589</v>
      </c>
      <c r="R43" s="10" t="s">
        <v>23</v>
      </c>
      <c r="S43" s="36"/>
      <c r="T43" s="36">
        <f>F25</f>
        <v>-7773.7679999999991</v>
      </c>
      <c r="U43" s="36">
        <f>G25</f>
        <v>-10057.312350000002</v>
      </c>
      <c r="V43" s="36">
        <f>H25</f>
        <v>-12217.448133000002</v>
      </c>
      <c r="W43" s="36">
        <f>I25</f>
        <v>-14127.812750160003</v>
      </c>
      <c r="X43" s="36">
        <f>J25</f>
        <v>-15787.164342042</v>
      </c>
    </row>
    <row r="44" spans="2:25" x14ac:dyDescent="0.3">
      <c r="B44" s="42" t="s">
        <v>21</v>
      </c>
      <c r="C44" s="49"/>
      <c r="D44" s="49">
        <f>SUM(D40:D43)</f>
        <v>101748.08199518111</v>
      </c>
      <c r="E44" s="49">
        <f>SUM(E40:E43)</f>
        <v>131743.76569883325</v>
      </c>
      <c r="F44" s="49">
        <f>SUM(F40:F43)</f>
        <v>162161.35617538527</v>
      </c>
      <c r="G44" s="49">
        <f t="shared" ref="G44:H44" si="15">SUM(G40:G43)</f>
        <v>188624.71588002244</v>
      </c>
      <c r="H44" s="49">
        <f t="shared" si="15"/>
        <v>209109.24301787635</v>
      </c>
      <c r="I44" s="12">
        <f>(H44/D44)^(1/5)-1</f>
        <v>0.1549665321491791</v>
      </c>
      <c r="J44" s="51" t="s">
        <v>21</v>
      </c>
      <c r="K44" s="49"/>
      <c r="L44" s="49">
        <f t="shared" ref="K44:P44" si="16">SUM(L40:L43)</f>
        <v>133052.63280149081</v>
      </c>
      <c r="M44" s="49">
        <f t="shared" si="16"/>
        <v>186121.80238573963</v>
      </c>
      <c r="N44" s="49">
        <f t="shared" si="16"/>
        <v>244894.14629073199</v>
      </c>
      <c r="O44" s="49">
        <f t="shared" si="16"/>
        <v>307161.14451028249</v>
      </c>
      <c r="P44" s="49">
        <f t="shared" si="16"/>
        <v>362722.63670478668</v>
      </c>
      <c r="Q44" s="56">
        <f>(P44/L44)^(1/5)-1</f>
        <v>0.22210983021882802</v>
      </c>
      <c r="R44" s="51" t="s">
        <v>21</v>
      </c>
      <c r="S44" s="49"/>
      <c r="T44" s="49">
        <f t="shared" ref="S44:X44" si="17">SUM(T40:T43)</f>
        <v>70312.710653490838</v>
      </c>
      <c r="U44" s="49">
        <f t="shared" si="17"/>
        <v>86262.942406789705</v>
      </c>
      <c r="V44" s="49">
        <f t="shared" si="17"/>
        <v>116409.05678708608</v>
      </c>
      <c r="W44" s="49">
        <f t="shared" si="17"/>
        <v>130802.30681733185</v>
      </c>
      <c r="X44" s="49">
        <f t="shared" si="17"/>
        <v>155089.63755663813</v>
      </c>
      <c r="Y44" s="56">
        <f>(X44/T44)^(1/5)-1</f>
        <v>0.17141232198827683</v>
      </c>
    </row>
    <row r="45" spans="2:25" x14ac:dyDescent="0.3">
      <c r="B45" s="2" t="s">
        <v>35</v>
      </c>
      <c r="C45" s="49">
        <f>NPV(C34,D44:H44)</f>
        <v>535818.55849609163</v>
      </c>
      <c r="D45" s="50"/>
      <c r="E45" s="49"/>
      <c r="F45" s="49"/>
      <c r="G45" s="49"/>
      <c r="H45" s="49"/>
      <c r="I45" s="50"/>
      <c r="J45" s="50"/>
      <c r="K45" s="52" t="s">
        <v>35</v>
      </c>
      <c r="L45" s="49">
        <f>NPV(C34,L44:P44)</f>
        <v>820137.27740442054</v>
      </c>
      <c r="M45" s="50"/>
      <c r="N45" s="49"/>
      <c r="O45" s="49"/>
      <c r="P45" s="49"/>
      <c r="Q45" s="49"/>
      <c r="R45" s="50"/>
      <c r="S45" s="52" t="s">
        <v>35</v>
      </c>
      <c r="T45" s="49">
        <f>NPV(C34,T44:X44)</f>
        <v>375590.20065084816</v>
      </c>
      <c r="U45" s="50"/>
      <c r="V45" s="50"/>
      <c r="W45" s="49"/>
      <c r="X45" s="49"/>
      <c r="Y45" s="11"/>
    </row>
    <row r="46" spans="2:25" x14ac:dyDescent="0.3">
      <c r="B46" s="2" t="s">
        <v>32</v>
      </c>
      <c r="C46" s="49"/>
      <c r="D46" s="50"/>
      <c r="E46" s="49"/>
      <c r="F46" s="49"/>
      <c r="G46" s="49"/>
      <c r="H46" s="11">
        <f>(H44*(1+C35))/(C34-C35)</f>
        <v>2169008.2609104998</v>
      </c>
      <c r="I46" s="50"/>
      <c r="J46" s="50"/>
      <c r="K46" s="52" t="s">
        <v>32</v>
      </c>
      <c r="L46" s="49"/>
      <c r="M46" s="50"/>
      <c r="N46" s="49"/>
      <c r="O46" s="49"/>
      <c r="P46" s="11">
        <f>(P44*(1+C35))/(C34-C35)</f>
        <v>3762379.8167767404</v>
      </c>
      <c r="Q46" s="49"/>
      <c r="R46" s="50"/>
      <c r="S46" s="52" t="s">
        <v>32</v>
      </c>
      <c r="T46" s="49"/>
      <c r="U46" s="50"/>
      <c r="V46" s="50"/>
      <c r="W46" s="49"/>
      <c r="X46" s="11">
        <f>(X44*(1+C35))/(C34-C35)</f>
        <v>1608684.0552199122</v>
      </c>
      <c r="Y46" s="11"/>
    </row>
    <row r="47" spans="2:25" x14ac:dyDescent="0.3">
      <c r="B47" s="2" t="s">
        <v>34</v>
      </c>
      <c r="C47" s="11">
        <f>-PV(C34,H39,0,H46)</f>
        <v>1180903.9230759104</v>
      </c>
      <c r="D47" s="50"/>
      <c r="E47" s="49"/>
      <c r="F47" s="49"/>
      <c r="G47" s="49"/>
      <c r="H47" s="49"/>
      <c r="I47" s="50"/>
      <c r="J47" s="50"/>
      <c r="K47" s="52" t="s">
        <v>34</v>
      </c>
      <c r="L47" s="11">
        <f>-PV(C34,P39,0,P46)</f>
        <v>2048405.792547883</v>
      </c>
      <c r="M47" s="50" t="s">
        <v>30</v>
      </c>
      <c r="N47" s="49"/>
      <c r="O47" s="49"/>
      <c r="P47" s="49"/>
      <c r="Q47" s="49"/>
      <c r="R47" s="50"/>
      <c r="S47" s="52" t="s">
        <v>34</v>
      </c>
      <c r="T47" s="11">
        <f>-PV(C34,X39,0,X46)</f>
        <v>875838.67061963514</v>
      </c>
      <c r="U47" s="50" t="s">
        <v>30</v>
      </c>
      <c r="V47" s="50"/>
      <c r="W47" s="49"/>
      <c r="X47" s="49"/>
      <c r="Y47" s="11"/>
    </row>
    <row r="48" spans="2:25" x14ac:dyDescent="0.3">
      <c r="B48" s="2" t="s">
        <v>36</v>
      </c>
      <c r="C48" s="47">
        <f>C47/C50</f>
        <v>0.68788283240431336</v>
      </c>
      <c r="D48" s="50"/>
      <c r="E48" s="49"/>
      <c r="F48" s="49"/>
      <c r="G48" s="49"/>
      <c r="H48" s="49"/>
      <c r="I48" s="50"/>
      <c r="J48" s="50"/>
      <c r="K48" s="52" t="s">
        <v>36</v>
      </c>
      <c r="L48" s="47">
        <f>L47/L50</f>
        <v>0.71409274415459367</v>
      </c>
      <c r="M48" s="50"/>
      <c r="N48" s="49"/>
      <c r="O48" s="49"/>
      <c r="P48" s="49"/>
      <c r="Q48" s="49"/>
      <c r="R48" s="50"/>
      <c r="S48" s="52" t="s">
        <v>36</v>
      </c>
      <c r="T48" s="47">
        <f>T47/T50</f>
        <v>0.69987091613961305</v>
      </c>
      <c r="U48" s="50"/>
      <c r="V48" s="50"/>
      <c r="W48" s="49"/>
      <c r="X48" s="49"/>
      <c r="Y48" s="11"/>
    </row>
    <row r="49" spans="2:25" x14ac:dyDescent="0.3">
      <c r="B49" s="2"/>
      <c r="C49" s="49"/>
      <c r="D49" s="50"/>
      <c r="E49" s="49"/>
      <c r="F49" s="49"/>
      <c r="G49" s="49"/>
      <c r="H49" s="49"/>
      <c r="I49" s="50"/>
      <c r="J49" s="50"/>
      <c r="K49" s="52"/>
      <c r="L49" s="49"/>
      <c r="M49" s="50"/>
      <c r="N49" s="49"/>
      <c r="O49" s="49"/>
      <c r="P49" s="49"/>
      <c r="Q49" s="49"/>
      <c r="R49" s="50"/>
      <c r="S49" s="52"/>
      <c r="T49" s="49"/>
      <c r="U49" s="50"/>
      <c r="V49" s="50"/>
      <c r="W49" s="11"/>
      <c r="X49" s="11"/>
      <c r="Y49" s="11"/>
    </row>
    <row r="50" spans="2:25" x14ac:dyDescent="0.3">
      <c r="B50" s="2" t="s">
        <v>25</v>
      </c>
      <c r="C50" s="11">
        <f>SUM(C45:C47)</f>
        <v>1716722.4815720022</v>
      </c>
      <c r="D50" s="50"/>
      <c r="E50" s="49"/>
      <c r="F50" s="49"/>
      <c r="G50" s="49"/>
      <c r="H50" s="49"/>
      <c r="I50" s="50"/>
      <c r="J50" s="50"/>
      <c r="K50" s="52" t="s">
        <v>25</v>
      </c>
      <c r="L50" s="11">
        <f>SUM(L45:L47)</f>
        <v>2868543.0699523035</v>
      </c>
      <c r="M50" s="50" t="s">
        <v>30</v>
      </c>
      <c r="N50" s="49"/>
      <c r="O50" s="49"/>
      <c r="P50" s="49"/>
      <c r="Q50" s="49"/>
      <c r="R50" s="50"/>
      <c r="S50" s="52" t="s">
        <v>25</v>
      </c>
      <c r="T50" s="11">
        <f>SUM(T45:T47)</f>
        <v>1251428.8712704834</v>
      </c>
      <c r="U50" s="50" t="s">
        <v>30</v>
      </c>
      <c r="V50" s="50"/>
      <c r="W50" s="11"/>
      <c r="X50" s="11"/>
      <c r="Y50" s="11"/>
    </row>
    <row r="51" spans="2:25" x14ac:dyDescent="0.3">
      <c r="B51" s="2" t="s">
        <v>26</v>
      </c>
      <c r="C51" s="49">
        <f>--42300</f>
        <v>42300</v>
      </c>
      <c r="D51" s="50" t="s">
        <v>30</v>
      </c>
      <c r="E51" s="49"/>
      <c r="F51" s="49"/>
      <c r="G51" s="49"/>
      <c r="H51" s="49"/>
      <c r="I51" s="50"/>
      <c r="J51" s="50"/>
      <c r="K51" s="52" t="s">
        <v>26</v>
      </c>
      <c r="L51" s="49">
        <f>--42300</f>
        <v>42300</v>
      </c>
      <c r="M51" s="50" t="s">
        <v>30</v>
      </c>
      <c r="N51" s="49"/>
      <c r="O51" s="49"/>
      <c r="P51" s="49"/>
      <c r="Q51" s="49"/>
      <c r="R51" s="50"/>
      <c r="S51" s="52" t="s">
        <v>26</v>
      </c>
      <c r="T51" s="49">
        <f>--42300</f>
        <v>42300</v>
      </c>
      <c r="U51" s="50" t="s">
        <v>30</v>
      </c>
      <c r="V51" s="50"/>
      <c r="W51" s="11"/>
      <c r="X51" s="11"/>
      <c r="Y51" s="11"/>
    </row>
    <row r="52" spans="2:25" x14ac:dyDescent="0.3">
      <c r="B52" s="2" t="s">
        <v>27</v>
      </c>
      <c r="C52" s="49">
        <v>0</v>
      </c>
      <c r="D52" s="50"/>
      <c r="E52" s="49"/>
      <c r="F52" s="49"/>
      <c r="G52" s="49"/>
      <c r="H52" s="49"/>
      <c r="I52" s="50"/>
      <c r="J52" s="50"/>
      <c r="K52" s="52" t="s">
        <v>27</v>
      </c>
      <c r="L52" s="49">
        <v>0</v>
      </c>
      <c r="M52" s="50"/>
      <c r="N52" s="49"/>
      <c r="O52" s="49"/>
      <c r="P52" s="49"/>
      <c r="Q52" s="49"/>
      <c r="R52" s="50"/>
      <c r="S52" s="52" t="s">
        <v>27</v>
      </c>
      <c r="T52" s="49">
        <v>0</v>
      </c>
      <c r="U52" s="50"/>
      <c r="V52" s="50"/>
      <c r="W52" s="11"/>
      <c r="X52" s="11"/>
      <c r="Y52" s="11"/>
    </row>
    <row r="53" spans="2:25" x14ac:dyDescent="0.3">
      <c r="B53" s="2" t="s">
        <v>28</v>
      </c>
      <c r="C53" s="49">
        <f>SUM(C50:C52)</f>
        <v>1759022.4815720022</v>
      </c>
      <c r="D53" s="50"/>
      <c r="E53" s="49"/>
      <c r="F53" s="49"/>
      <c r="G53" s="49"/>
      <c r="H53" s="49"/>
      <c r="I53" s="50"/>
      <c r="J53" s="50"/>
      <c r="K53" s="52" t="s">
        <v>28</v>
      </c>
      <c r="L53" s="49">
        <f>SUM(L50:L52)</f>
        <v>2910843.0699523035</v>
      </c>
      <c r="M53" s="50" t="s">
        <v>30</v>
      </c>
      <c r="N53" s="49"/>
      <c r="O53" s="49"/>
      <c r="P53" s="49"/>
      <c r="Q53" s="49"/>
      <c r="R53" s="50"/>
      <c r="S53" s="52" t="s">
        <v>28</v>
      </c>
      <c r="T53" s="49">
        <f>SUM(T50:T52)</f>
        <v>1293728.8712704834</v>
      </c>
      <c r="U53" s="50" t="s">
        <v>30</v>
      </c>
      <c r="V53" s="50"/>
      <c r="W53" s="11"/>
      <c r="X53" s="11"/>
      <c r="Y53" s="11"/>
    </row>
    <row r="54" spans="2:25" x14ac:dyDescent="0.3">
      <c r="B54" s="2" t="s">
        <v>29</v>
      </c>
      <c r="C54" s="49">
        <v>24304</v>
      </c>
      <c r="D54" s="50" t="s">
        <v>30</v>
      </c>
      <c r="E54" s="49"/>
      <c r="F54" s="49"/>
      <c r="G54" s="49"/>
      <c r="H54" s="49"/>
      <c r="I54" s="50"/>
      <c r="J54" s="50"/>
      <c r="K54" s="52" t="s">
        <v>29</v>
      </c>
      <c r="L54" s="49">
        <v>24304</v>
      </c>
      <c r="M54" s="50" t="s">
        <v>30</v>
      </c>
      <c r="N54" s="49"/>
      <c r="O54" s="49"/>
      <c r="P54" s="49"/>
      <c r="Q54" s="49"/>
      <c r="R54" s="50"/>
      <c r="S54" s="52" t="s">
        <v>29</v>
      </c>
      <c r="T54" s="49">
        <v>24304</v>
      </c>
      <c r="U54" s="50" t="s">
        <v>30</v>
      </c>
      <c r="V54" s="50"/>
      <c r="W54" s="11"/>
      <c r="X54" s="11"/>
      <c r="Y54" s="11"/>
    </row>
    <row r="55" spans="2:25" x14ac:dyDescent="0.3">
      <c r="B55" t="s">
        <v>31</v>
      </c>
      <c r="C55" s="54">
        <f>C53/C54</f>
        <v>72.37584272432531</v>
      </c>
      <c r="K55" t="s">
        <v>31</v>
      </c>
      <c r="L55" s="53">
        <f>L53/L54</f>
        <v>119.76806574853126</v>
      </c>
      <c r="S55" t="s">
        <v>31</v>
      </c>
      <c r="T55" s="53">
        <f>T53/T54</f>
        <v>53.231108923242402</v>
      </c>
    </row>
  </sheetData>
  <mergeCells count="21">
    <mergeCell ref="C30:C32"/>
    <mergeCell ref="D30:D32"/>
    <mergeCell ref="E30:E32"/>
    <mergeCell ref="C26:C28"/>
    <mergeCell ref="D26:D28"/>
    <mergeCell ref="E26:E28"/>
    <mergeCell ref="D23:D25"/>
    <mergeCell ref="E23:E25"/>
    <mergeCell ref="C23:C25"/>
    <mergeCell ref="C9:C11"/>
    <mergeCell ref="D9:D11"/>
    <mergeCell ref="E9:E11"/>
    <mergeCell ref="E12:E14"/>
    <mergeCell ref="D12:D14"/>
    <mergeCell ref="C12:C14"/>
    <mergeCell ref="C6:C8"/>
    <mergeCell ref="D6:D8"/>
    <mergeCell ref="E6:E8"/>
    <mergeCell ref="C15:C17"/>
    <mergeCell ref="D15:D17"/>
    <mergeCell ref="E15:E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3FD3-2516-49EA-852D-DCEA2CFF1564}">
  <dimension ref="B2:I10"/>
  <sheetViews>
    <sheetView zoomScale="120" workbookViewId="0">
      <selection activeCell="K7" sqref="K7"/>
    </sheetView>
  </sheetViews>
  <sheetFormatPr baseColWidth="10" defaultRowHeight="14.4" x14ac:dyDescent="0.3"/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</row>
    <row r="3" spans="2:9" ht="28.8" x14ac:dyDescent="0.3">
      <c r="B3" s="2" t="s">
        <v>9</v>
      </c>
      <c r="C3" s="3">
        <v>35367</v>
      </c>
      <c r="D3" s="3">
        <v>33856</v>
      </c>
      <c r="E3" s="3">
        <v>33338</v>
      </c>
      <c r="F3" s="3">
        <v>32846</v>
      </c>
      <c r="G3" s="3">
        <v>32380</v>
      </c>
      <c r="H3" s="3">
        <v>31940</v>
      </c>
      <c r="I3" s="4">
        <v>-0.02</v>
      </c>
    </row>
    <row r="4" spans="2:9" ht="28.8" x14ac:dyDescent="0.3">
      <c r="B4" s="2" t="s">
        <v>10</v>
      </c>
      <c r="C4" s="3">
        <v>4412</v>
      </c>
      <c r="D4" s="3">
        <v>4296</v>
      </c>
      <c r="E4" s="3">
        <v>4161</v>
      </c>
      <c r="F4" s="3">
        <v>3961</v>
      </c>
      <c r="G4" s="3">
        <v>3761</v>
      </c>
      <c r="H4" s="3">
        <v>3561</v>
      </c>
      <c r="I4" s="4">
        <v>-4.2000000000000003E-2</v>
      </c>
    </row>
    <row r="5" spans="2:9" ht="43.2" x14ac:dyDescent="0.3">
      <c r="B5" s="2" t="s">
        <v>11</v>
      </c>
      <c r="C5" s="2">
        <v>-903</v>
      </c>
      <c r="D5" s="2">
        <v>-907</v>
      </c>
      <c r="E5" s="2">
        <v>-913</v>
      </c>
      <c r="F5" s="2">
        <v>-919</v>
      </c>
      <c r="G5" s="2">
        <v>-924</v>
      </c>
      <c r="H5" s="2">
        <v>-930</v>
      </c>
      <c r="I5" s="4">
        <v>6.0000000000000001E-3</v>
      </c>
    </row>
    <row r="6" spans="2:9" ht="43.2" x14ac:dyDescent="0.3">
      <c r="B6" s="2" t="s">
        <v>12</v>
      </c>
      <c r="C6" s="3">
        <v>-6343</v>
      </c>
      <c r="D6" s="3">
        <v>-6343</v>
      </c>
      <c r="E6" s="3">
        <v>-6343</v>
      </c>
      <c r="F6" s="3">
        <v>-6343</v>
      </c>
      <c r="G6" s="3">
        <v>-6343</v>
      </c>
      <c r="H6" s="3">
        <v>-6343</v>
      </c>
      <c r="I6" s="4">
        <v>0</v>
      </c>
    </row>
    <row r="7" spans="2:9" ht="28.8" x14ac:dyDescent="0.3">
      <c r="B7" s="2" t="s">
        <v>13</v>
      </c>
      <c r="C7" s="3">
        <v>32533</v>
      </c>
      <c r="D7" s="3">
        <v>30902</v>
      </c>
      <c r="E7" s="3">
        <v>30244</v>
      </c>
      <c r="F7" s="3">
        <v>29546</v>
      </c>
      <c r="G7" s="3">
        <v>28874</v>
      </c>
      <c r="H7" s="3">
        <v>28228</v>
      </c>
      <c r="I7" s="4">
        <v>-2.8000000000000001E-2</v>
      </c>
    </row>
    <row r="8" spans="2:9" ht="28.8" x14ac:dyDescent="0.3">
      <c r="B8" s="2" t="s">
        <v>14</v>
      </c>
      <c r="C8" s="3">
        <v>14158</v>
      </c>
      <c r="D8" s="3">
        <v>13375</v>
      </c>
      <c r="E8" s="3">
        <v>12943</v>
      </c>
      <c r="F8" s="3">
        <v>12516</v>
      </c>
      <c r="G8" s="3">
        <v>12131</v>
      </c>
      <c r="H8" s="3">
        <v>11787</v>
      </c>
      <c r="I8" s="4">
        <v>-3.5999999999999997E-2</v>
      </c>
    </row>
    <row r="9" spans="2:9" x14ac:dyDescent="0.3">
      <c r="B9" s="2" t="s">
        <v>15</v>
      </c>
      <c r="C9" s="3">
        <v>1166</v>
      </c>
      <c r="D9" s="3">
        <v>1150</v>
      </c>
      <c r="E9" s="3">
        <v>1134</v>
      </c>
      <c r="F9" s="3">
        <v>1116</v>
      </c>
      <c r="G9" s="3">
        <v>1098</v>
      </c>
      <c r="H9" s="3">
        <v>1079</v>
      </c>
      <c r="I9" s="4">
        <v>-1.4999999999999999E-2</v>
      </c>
    </row>
    <row r="10" spans="2:9" ht="43.2" x14ac:dyDescent="0.3">
      <c r="B10" s="2" t="s">
        <v>16</v>
      </c>
      <c r="C10" s="3">
        <v>17209</v>
      </c>
      <c r="D10" s="3">
        <v>16376</v>
      </c>
      <c r="E10" s="3">
        <v>16167</v>
      </c>
      <c r="F10" s="3">
        <v>15913</v>
      </c>
      <c r="G10" s="3">
        <v>15644</v>
      </c>
      <c r="H10" s="3">
        <v>15362</v>
      </c>
      <c r="I10" s="4">
        <v>-2.1999999999999999E-2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</dc:creator>
  <cp:lastModifiedBy>ANDRES ROQUES SANCHEZ</cp:lastModifiedBy>
  <dcterms:created xsi:type="dcterms:W3CDTF">2015-06-05T18:19:34Z</dcterms:created>
  <dcterms:modified xsi:type="dcterms:W3CDTF">2026-04-27T19:12:35Z</dcterms:modified>
</cp:coreProperties>
</file>