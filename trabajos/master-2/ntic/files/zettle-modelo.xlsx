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\Desktop\Uni\2M Segundo de master\Economía\NTIC\Caso Zettle\"/>
    </mc:Choice>
  </mc:AlternateContent>
  <xr:revisionPtr revIDLastSave="0" documentId="8_{52F20C80-DAFF-4C52-9AD5-8287F0529758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P1 Modelo negocio" sheetId="1" r:id="rId1"/>
    <sheet name="P2 Cash balance" sheetId="2" r:id="rId2"/>
    <sheet name="P3 Valor terminal" sheetId="3" r:id="rId3"/>
    <sheet name="P4 Vpre" sheetId="4" r:id="rId4"/>
    <sheet name="P5 Una ronda" sheetId="5" r:id="rId5"/>
    <sheet name="P6 Dos rondas" sheetId="6" r:id="rId6"/>
    <sheet name="P7 PayP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B4" i="3" s="1"/>
  <c r="D6" i="2"/>
  <c r="D13" i="2" s="1"/>
  <c r="C6" i="2"/>
  <c r="C13" i="2" s="1"/>
  <c r="C18" i="2" s="1"/>
  <c r="B6" i="2"/>
  <c r="B13" i="2" s="1"/>
  <c r="B14" i="2" l="1"/>
  <c r="B18" i="2"/>
  <c r="B4" i="6"/>
  <c r="D18" i="2"/>
  <c r="C4" i="6"/>
  <c r="B8" i="3"/>
  <c r="B6" i="3"/>
  <c r="E13" i="2"/>
  <c r="E18" i="2" s="1"/>
  <c r="E19" i="2" l="1"/>
  <c r="D19" i="2"/>
  <c r="C19" i="2"/>
  <c r="B19" i="2"/>
  <c r="B4" i="4"/>
  <c r="B7" i="4" s="1"/>
  <c r="C5" i="6"/>
  <c r="C6" i="6" s="1"/>
  <c r="B5" i="6" s="1"/>
  <c r="B6" i="6" s="1"/>
  <c r="B15" i="2"/>
  <c r="C14" i="2"/>
  <c r="B5" i="5" l="1"/>
  <c r="B6" i="7"/>
  <c r="D14" i="2"/>
  <c r="C15" i="2"/>
  <c r="C7" i="6"/>
  <c r="C15" i="6" s="1"/>
  <c r="B7" i="6"/>
  <c r="B10" i="6" l="1"/>
  <c r="B14" i="6"/>
  <c r="C8" i="6"/>
  <c r="B16" i="6" s="1"/>
  <c r="B8" i="6"/>
  <c r="E14" i="2"/>
  <c r="E15" i="2" s="1"/>
  <c r="D15" i="2"/>
  <c r="B17" i="2" s="1"/>
  <c r="B14" i="7"/>
  <c r="B12" i="7"/>
  <c r="B11" i="7"/>
  <c r="B10" i="7"/>
  <c r="B4" i="5" l="1"/>
  <c r="B8" i="4"/>
  <c r="B9" i="4" s="1"/>
  <c r="B5" i="7" s="1"/>
  <c r="B11" i="6"/>
  <c r="C9" i="6" s="1"/>
  <c r="B12" i="6"/>
  <c r="C10" i="6" l="1"/>
  <c r="C12" i="6" s="1"/>
  <c r="C11" i="6"/>
  <c r="B9" i="7"/>
  <c r="B8" i="7"/>
  <c r="B7" i="7"/>
  <c r="B7" i="5"/>
  <c r="B6" i="5"/>
  <c r="B8" i="5" l="1"/>
  <c r="B10" i="5"/>
  <c r="B11" i="5" l="1"/>
  <c r="B12" i="5"/>
</calcChain>
</file>

<file path=xl/sharedStrings.xml><?xml version="1.0" encoding="utf-8"?>
<sst xmlns="http://schemas.openxmlformats.org/spreadsheetml/2006/main" count="230" uniqueCount="150">
  <si>
    <t>Dato</t>
  </si>
  <si>
    <t>Square / Block</t>
  </si>
  <si>
    <t>iZettle / Zettle</t>
  </si>
  <si>
    <t>Respuesta</t>
  </si>
  <si>
    <t>Sector</t>
  </si>
  <si>
    <t>Fintech pagos / POS</t>
  </si>
  <si>
    <t>Similares</t>
  </si>
  <si>
    <t>Cliente objetivo</t>
  </si>
  <si>
    <t>Pequeños comercios / long tail</t>
  </si>
  <si>
    <t>Comisión por transacción</t>
  </si>
  <si>
    <t>Square mayor comisión</t>
  </si>
  <si>
    <t>Año fundación</t>
  </si>
  <si>
    <t>Square anterior</t>
  </si>
  <si>
    <t>Lanzamiento servicio</t>
  </si>
  <si>
    <t>2009-2010</t>
  </si>
  <si>
    <t>iZettle posterior</t>
  </si>
  <si>
    <t>Mercados</t>
  </si>
  <si>
    <t>EE.UU. + expansión</t>
  </si>
  <si>
    <t>Europa + México + Brasil</t>
  </si>
  <si>
    <t>iZettle más europeo</t>
  </si>
  <si>
    <t>Productos</t>
  </si>
  <si>
    <t>POS, Cash, Capital, Payroll</t>
  </si>
  <si>
    <t>POS, pagos, financiación</t>
  </si>
  <si>
    <t>Square más diversificado</t>
  </si>
  <si>
    <t>Estado 2018</t>
  </si>
  <si>
    <t>Pública desde 2015</t>
  </si>
  <si>
    <t>Pre-IPO / adquirida por PayPal</t>
  </si>
  <si>
    <t>iZettle no llegó a IPO</t>
  </si>
  <si>
    <t>Valoración relevante</t>
  </si>
  <si>
    <t>IPO: 2.900 M$</t>
  </si>
  <si>
    <t>PayPal: 2.200 M$</t>
  </si>
  <si>
    <t>PayPal paga premium estratégico</t>
  </si>
  <si>
    <t>Fortaleza</t>
  </si>
  <si>
    <t>Escala y cartera amplia</t>
  </si>
  <si>
    <t>Posición europea y sinergia PayPal</t>
  </si>
  <si>
    <t>Ambas fuertes en nicho pyme</t>
  </si>
  <si>
    <t>Debilidad</t>
  </si>
  <si>
    <t>EBITDA bajo / negativo histórico</t>
  </si>
  <si>
    <t>Sin beneficios y alta necesidad de capital</t>
  </si>
  <si>
    <t>Riesgo startup</t>
  </si>
  <si>
    <t>P2. Cash balance 2019-2022 y capital necesario</t>
  </si>
  <si>
    <t>Concepto</t>
  </si>
  <si>
    <t>2019</t>
  </si>
  <si>
    <t>2020</t>
  </si>
  <si>
    <t>2021</t>
  </si>
  <si>
    <t>2022</t>
  </si>
  <si>
    <t>Unidad</t>
  </si>
  <si>
    <t>Nº POS operativos</t>
  </si>
  <si>
    <t>unidades</t>
  </si>
  <si>
    <t>Revenue anual por POS</t>
  </si>
  <si>
    <t>$/POS</t>
  </si>
  <si>
    <t>Ingresos</t>
  </si>
  <si>
    <t>M$</t>
  </si>
  <si>
    <t>Coste de ingresos</t>
  </si>
  <si>
    <t>SG&amp;A excl. depreciación</t>
  </si>
  <si>
    <t>Capex</t>
  </si>
  <si>
    <t>Depreciación</t>
  </si>
  <si>
    <t>Cash flow usado</t>
  </si>
  <si>
    <t>Cash flow acumulado</t>
  </si>
  <si>
    <t>Necesidad acumulada</t>
  </si>
  <si>
    <t>Capital necesario</t>
  </si>
  <si>
    <t>Resultado contable incl. depreciación</t>
  </si>
  <si>
    <t>Necesidad incl. depreciación</t>
  </si>
  <si>
    <t>P3. Valor de salida / valor terminal</t>
  </si>
  <si>
    <t>Valor</t>
  </si>
  <si>
    <t>Fórmula / base</t>
  </si>
  <si>
    <t>Ingresos 2022</t>
  </si>
  <si>
    <t>P2!E6</t>
  </si>
  <si>
    <t>Múltiplo usado</t>
  </si>
  <si>
    <t>x</t>
  </si>
  <si>
    <t>Price/Sales Square IPO</t>
  </si>
  <si>
    <t>Valor terminal (Vt)</t>
  </si>
  <si>
    <t>Ingresos 2022 x múltiplo</t>
  </si>
  <si>
    <t>Múltiplo alternativo Square 2021</t>
  </si>
  <si>
    <t>EV/Revenue Square 2021</t>
  </si>
  <si>
    <t>Vt alternativo</t>
  </si>
  <si>
    <t>Ingresos 2022 x 4,4x</t>
  </si>
  <si>
    <t>P4. Valor pre-financiación con IRR 40%</t>
  </si>
  <si>
    <t>P3!B6</t>
  </si>
  <si>
    <t>IRR usada</t>
  </si>
  <si>
    <t>%</t>
  </si>
  <si>
    <t>Dato del enunciado</t>
  </si>
  <si>
    <t>Tiempo hasta salida</t>
  </si>
  <si>
    <t>años</t>
  </si>
  <si>
    <t>2019-2022</t>
  </si>
  <si>
    <t>Valor post-money (Vpost)</t>
  </si>
  <si>
    <t>Vt / (1+IRR)^t</t>
  </si>
  <si>
    <t>Inversión requerida (I)</t>
  </si>
  <si>
    <t>Peak funding P2</t>
  </si>
  <si>
    <t>Valor pre-money (Vpre)</t>
  </si>
  <si>
    <t>Vpost - I</t>
  </si>
  <si>
    <t>IRR VC referencia</t>
  </si>
  <si>
    <t>Industry Ventures</t>
  </si>
  <si>
    <t>Loss rate early-stage</t>
  </si>
  <si>
    <t>IRR mediana early-stage</t>
  </si>
  <si>
    <t>P5. Escenario de una ronda</t>
  </si>
  <si>
    <t>Inversión total (I)</t>
  </si>
  <si>
    <t>P2 capital necesario</t>
  </si>
  <si>
    <t>Post-money</t>
  </si>
  <si>
    <t>P4 Vpost</t>
  </si>
  <si>
    <t>Pre-money</t>
  </si>
  <si>
    <t>Post - I</t>
  </si>
  <si>
    <t>% propiedad VC (F)</t>
  </si>
  <si>
    <t>I / Post</t>
  </si>
  <si>
    <t>% propiedad emprendedores</t>
  </si>
  <si>
    <t>1-F</t>
  </si>
  <si>
    <t>Acciones actuales (x)</t>
  </si>
  <si>
    <t>acciones</t>
  </si>
  <si>
    <t>Dato enunciado</t>
  </si>
  <si>
    <t>Nuevas acciones VC (y)</t>
  </si>
  <si>
    <t>x*F/(1-F)</t>
  </si>
  <si>
    <t>Acciones totales post</t>
  </si>
  <si>
    <t>x+y</t>
  </si>
  <si>
    <t>Precio por acción</t>
  </si>
  <si>
    <t>$/acción</t>
  </si>
  <si>
    <t>I/y</t>
  </si>
  <si>
    <t>P6. Escenario de dos rondas: t=0 y t=2</t>
  </si>
  <si>
    <t>Ronda 1 (t=0)</t>
  </si>
  <si>
    <t>Ronda 2 (t=2)</t>
  </si>
  <si>
    <t>Inversión</t>
  </si>
  <si>
    <t>% propiedad VC</t>
  </si>
  <si>
    <t>Acciones antes de ronda</t>
  </si>
  <si>
    <t>Nuevas acciones VC</t>
  </si>
  <si>
    <t>Propiedad final VC R1</t>
  </si>
  <si>
    <t>Propiedad final VC R2</t>
  </si>
  <si>
    <t>Propiedad final emprendedores</t>
  </si>
  <si>
    <t>P7. Comparación con adquisición de PayPal</t>
  </si>
  <si>
    <t>Precio PayPal</t>
  </si>
  <si>
    <t>Dato caso</t>
  </si>
  <si>
    <t>Vpre calculado</t>
  </si>
  <si>
    <t>P4 Vpre</t>
  </si>
  <si>
    <t>Vpost calculado</t>
  </si>
  <si>
    <t>Diferencia PayPal - Vpre</t>
  </si>
  <si>
    <t>Precio - Vpre</t>
  </si>
  <si>
    <t>Múltiplo PayPal / Vpre</t>
  </si>
  <si>
    <t>Precio / Vpre</t>
  </si>
  <si>
    <t>Premium vs Vpre</t>
  </si>
  <si>
    <t>Precio / Vpre - 1</t>
  </si>
  <si>
    <t>Diferencia PayPal - Vpost</t>
  </si>
  <si>
    <t>Precio - Vpost</t>
  </si>
  <si>
    <t>Múltiplo PayPal / Vpost</t>
  </si>
  <si>
    <t>Precio / Vpost</t>
  </si>
  <si>
    <t>Premium vs Vpost</t>
  </si>
  <si>
    <t>Precio / Vpost - 1</t>
  </si>
  <si>
    <t>Valoración IPO prevista</t>
  </si>
  <si>
    <t>Diferencia Vpost - IPO prevista</t>
  </si>
  <si>
    <t>Vpost - IPO prevista</t>
  </si>
  <si>
    <t>Interpretación</t>
  </si>
  <si>
    <t>PayPal pagó 2,57x Vpre / 1,87x Vpost</t>
  </si>
  <si>
    <t>Premium estratégico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</si>
</sst>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6" formatCode="\$#,##0.0;[Red]\(\$#,##0.0\);\-"/>
    <numFmt numFmtId="167" formatCode="0.0\x"/>
    <numFmt numFmtId="168" formatCode="\$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/>
    <xf numFmtId="0" fontId="3" fillId="3" borderId="6" xfId="0" applyFont="1" applyFill="1" applyBorder="1"/>
    <xf numFmtId="0" fontId="3" fillId="3" borderId="5" xfId="0" applyFont="1" applyFill="1" applyBorder="1"/>
    <xf numFmtId="0" fontId="0" fillId="0" borderId="4" xfId="0" applyFont="1" applyBorder="1"/>
    <xf numFmtId="166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3" borderId="4" xfId="0" applyFont="1" applyFill="1" applyBorder="1"/>
    <xf numFmtId="166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67" fontId="0" fillId="3" borderId="5" xfId="0" applyNumberFormat="1" applyFont="1" applyFill="1" applyBorder="1"/>
    <xf numFmtId="164" fontId="0" fillId="3" borderId="5" xfId="0" applyNumberFormat="1" applyFont="1" applyFill="1" applyBorder="1"/>
    <xf numFmtId="0" fontId="0" fillId="0" borderId="7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/>
    <xf numFmtId="3" fontId="0" fillId="0" borderId="5" xfId="0" applyNumberFormat="1" applyFont="1" applyBorder="1"/>
    <xf numFmtId="0" fontId="0" fillId="4" borderId="4" xfId="0" applyFont="1" applyFill="1" applyBorder="1"/>
    <xf numFmtId="3" fontId="0" fillId="4" borderId="5" xfId="0" applyNumberFormat="1" applyFont="1" applyFill="1" applyBorder="1"/>
    <xf numFmtId="0" fontId="0" fillId="4" borderId="6" xfId="0" applyFont="1" applyFill="1" applyBorder="1"/>
    <xf numFmtId="168" fontId="0" fillId="4" borderId="5" xfId="0" applyNumberFormat="1" applyFont="1" applyFill="1" applyBorder="1"/>
    <xf numFmtId="164" fontId="0" fillId="0" borderId="5" xfId="0" applyNumberFormat="1" applyFont="1" applyBorder="1"/>
    <xf numFmtId="164" fontId="0" fillId="4" borderId="5" xfId="0" applyNumberFormat="1" applyFont="1" applyFill="1" applyBorder="1"/>
    <xf numFmtId="0" fontId="0" fillId="4" borderId="7" xfId="0" applyFont="1" applyFill="1" applyBorder="1"/>
    <xf numFmtId="164" fontId="0" fillId="4" borderId="8" xfId="0" applyNumberFormat="1" applyFont="1" applyFill="1" applyBorder="1"/>
    <xf numFmtId="0" fontId="0" fillId="4" borderId="9" xfId="0" applyFont="1" applyFill="1" applyBorder="1"/>
    <xf numFmtId="0" fontId="0" fillId="0" borderId="0" xfId="0" applyFont="1"/>
    <xf numFmtId="0" fontId="0" fillId="4" borderId="5" xfId="0" applyFont="1" applyFill="1" applyBorder="1"/>
    <xf numFmtId="168" fontId="0" fillId="4" borderId="8" xfId="0" applyNumberFormat="1" applyFont="1" applyFill="1" applyBorder="1"/>
    <xf numFmtId="0" fontId="0" fillId="4" borderId="8" xfId="0" applyFont="1" applyFill="1" applyBorder="1"/>
    <xf numFmtId="166" fontId="3" fillId="3" borderId="5" xfId="0" applyNumberFormat="1" applyFont="1" applyFill="1" applyBorder="1"/>
    <xf numFmtId="0" fontId="0" fillId="0" borderId="7" xfId="0" applyFont="1" applyBorder="1"/>
    <xf numFmtId="164" fontId="0" fillId="0" borderId="8" xfId="0" applyNumberFormat="1" applyFont="1" applyBorder="1"/>
    <xf numFmtId="0" fontId="0" fillId="0" borderId="8" xfId="0" applyFont="1" applyBorder="1"/>
    <xf numFmtId="0" fontId="0" fillId="0" borderId="9" xfId="0" applyFont="1" applyBorder="1"/>
    <xf numFmtId="167" fontId="0" fillId="0" borderId="5" xfId="0" applyNumberFormat="1" applyFont="1" applyBorder="1"/>
    <xf numFmtId="167" fontId="3" fillId="3" borderId="5" xfId="0" applyNumberFormat="1" applyFont="1" applyFill="1" applyBorder="1"/>
    <xf numFmtId="166" fontId="0" fillId="0" borderId="8" xfId="0" applyNumberFormat="1" applyFont="1" applyBorder="1"/>
    <xf numFmtId="0" fontId="0" fillId="0" borderId="4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164" fontId="0" fillId="0" borderId="5" xfId="0" applyNumberFormat="1" applyFont="1" applyBorder="1" applyAlignment="1">
      <alignment wrapText="1"/>
    </xf>
    <xf numFmtId="0" fontId="1" fillId="0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 applyFill="1"/>
    <xf numFmtId="0" fontId="0" fillId="0" borderId="0" xfId="0" applyFont="1" applyFill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  <xf numFmtId="0" fontId="3" fillId="3" borderId="4" xfId="0" applyNumberFormat="1" applyFont="1" applyFill="1" applyBorder="1"/>
    <xf numFmtId="0" fontId="3" fillId="3" borderId="5" xfId="0" applyNumberFormat="1" applyFont="1" applyFill="1" applyBorder="1"/>
    <xf numFmtId="0" fontId="3" fillId="3" borderId="6" xfId="0" applyNumberFormat="1" applyFont="1" applyFill="1" applyBorder="1"/>
    <xf numFmtId="0" fontId="0" fillId="0" borderId="7" xfId="0" applyNumberFormat="1" applyFont="1" applyBorder="1"/>
    <xf numFmtId="0" fontId="0" fillId="0" borderId="8" xfId="0" applyNumberFormat="1" applyFont="1" applyBorder="1"/>
    <xf numFmtId="0" fontId="0" fillId="0" borderId="9" xfId="0" applyNumberFormat="1" applyFont="1" applyBorder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workbookViewId="0">
      <selection activeCell="H8" sqref="H8"/>
    </sheetView>
  </sheetViews>
  <sheetFormatPr baseColWidth="10" defaultColWidth="8.796875" defaultRowHeight="13.8"/>
  <cols>
    <col min="1" max="1" width="24" customWidth="1"/>
    <col min="2" max="3" width="28" customWidth="1"/>
    <col min="4" max="4" width="30" customWidth="1"/>
  </cols>
  <sheetData>
    <row r="1" spans="1:5" ht="16.8" customHeight="1">
      <c r="A1" s="50"/>
      <c r="B1" s="51"/>
      <c r="C1" s="51"/>
      <c r="D1" s="51"/>
      <c r="E1" s="52"/>
    </row>
    <row r="2" spans="1:5">
      <c r="A2" s="53"/>
      <c r="B2" s="53"/>
      <c r="C2" s="53"/>
      <c r="D2" s="53"/>
      <c r="E2" s="52"/>
    </row>
    <row r="3" spans="1:5" ht="15" customHeight="1">
      <c r="A3" s="20" t="s">
        <v>0</v>
      </c>
      <c r="B3" s="21" t="s">
        <v>1</v>
      </c>
      <c r="C3" s="21" t="s">
        <v>2</v>
      </c>
      <c r="D3" s="22" t="s">
        <v>3</v>
      </c>
    </row>
    <row r="4" spans="1:5" ht="15" customHeight="1">
      <c r="A4" s="46" t="s">
        <v>4</v>
      </c>
      <c r="B4" s="47" t="s">
        <v>5</v>
      </c>
      <c r="C4" s="47" t="s">
        <v>5</v>
      </c>
      <c r="D4" s="48" t="s">
        <v>6</v>
      </c>
    </row>
    <row r="5" spans="1:5" ht="15" customHeight="1">
      <c r="A5" s="46" t="s">
        <v>7</v>
      </c>
      <c r="B5" s="47" t="s">
        <v>8</v>
      </c>
      <c r="C5" s="47" t="s">
        <v>8</v>
      </c>
      <c r="D5" s="48" t="s">
        <v>6</v>
      </c>
    </row>
    <row r="6" spans="1:5" ht="15" customHeight="1">
      <c r="A6" s="46" t="s">
        <v>9</v>
      </c>
      <c r="B6" s="49">
        <v>2.75E-2</v>
      </c>
      <c r="C6" s="49">
        <v>1.44E-2</v>
      </c>
      <c r="D6" s="48" t="s">
        <v>10</v>
      </c>
    </row>
    <row r="7" spans="1:5" ht="15" customHeight="1">
      <c r="A7" s="46" t="s">
        <v>11</v>
      </c>
      <c r="B7" s="47">
        <v>2009</v>
      </c>
      <c r="C7" s="47">
        <v>2010</v>
      </c>
      <c r="D7" s="48" t="s">
        <v>12</v>
      </c>
    </row>
    <row r="8" spans="1:5" ht="15" customHeight="1">
      <c r="A8" s="46" t="s">
        <v>13</v>
      </c>
      <c r="B8" s="47" t="s">
        <v>14</v>
      </c>
      <c r="C8" s="47">
        <v>2011</v>
      </c>
      <c r="D8" s="48" t="s">
        <v>15</v>
      </c>
    </row>
    <row r="9" spans="1:5" ht="15" customHeight="1">
      <c r="A9" s="46" t="s">
        <v>16</v>
      </c>
      <c r="B9" s="47" t="s">
        <v>17</v>
      </c>
      <c r="C9" s="47" t="s">
        <v>18</v>
      </c>
      <c r="D9" s="48" t="s">
        <v>19</v>
      </c>
    </row>
    <row r="10" spans="1:5" ht="15" customHeight="1">
      <c r="A10" s="46" t="s">
        <v>20</v>
      </c>
      <c r="B10" s="47" t="s">
        <v>21</v>
      </c>
      <c r="C10" s="47" t="s">
        <v>22</v>
      </c>
      <c r="D10" s="48" t="s">
        <v>23</v>
      </c>
    </row>
    <row r="11" spans="1:5" ht="15" customHeight="1">
      <c r="A11" s="46" t="s">
        <v>24</v>
      </c>
      <c r="B11" s="47" t="s">
        <v>25</v>
      </c>
      <c r="C11" s="47" t="s">
        <v>26</v>
      </c>
      <c r="D11" s="48" t="s">
        <v>27</v>
      </c>
    </row>
    <row r="12" spans="1:5" ht="15" customHeight="1">
      <c r="A12" s="46" t="s">
        <v>28</v>
      </c>
      <c r="B12" s="47" t="s">
        <v>29</v>
      </c>
      <c r="C12" s="47" t="s">
        <v>30</v>
      </c>
      <c r="D12" s="48" t="s">
        <v>31</v>
      </c>
    </row>
    <row r="13" spans="1:5" ht="15" customHeight="1">
      <c r="A13" s="46" t="s">
        <v>32</v>
      </c>
      <c r="B13" s="47" t="s">
        <v>33</v>
      </c>
      <c r="C13" s="47" t="s">
        <v>34</v>
      </c>
      <c r="D13" s="48" t="s">
        <v>35</v>
      </c>
    </row>
    <row r="14" spans="1:5" ht="26.4" customHeight="1">
      <c r="A14" s="17" t="s">
        <v>36</v>
      </c>
      <c r="B14" s="18" t="s">
        <v>37</v>
      </c>
      <c r="C14" s="18" t="s">
        <v>38</v>
      </c>
      <c r="D14" s="19" t="s">
        <v>39</v>
      </c>
    </row>
    <row r="15" spans="1:5">
      <c r="A15" s="34"/>
      <c r="B15" s="34"/>
      <c r="C15" s="34"/>
      <c r="D15" s="34"/>
    </row>
    <row r="16" spans="1:5">
      <c r="A16" s="34"/>
      <c r="B16" s="34"/>
      <c r="C16" s="34"/>
      <c r="D16" s="34"/>
    </row>
    <row r="17" spans="1:4">
      <c r="A17" s="34"/>
      <c r="B17" s="34"/>
      <c r="C17" s="34"/>
      <c r="D17" s="34"/>
    </row>
    <row r="18" spans="1:4">
      <c r="A18" s="34"/>
      <c r="B18" s="34"/>
      <c r="C18" s="34"/>
      <c r="D18" s="34"/>
    </row>
    <row r="19" spans="1:4">
      <c r="A19" s="34"/>
      <c r="B19" s="34"/>
      <c r="C19" s="34"/>
      <c r="D19" s="34"/>
    </row>
    <row r="20" spans="1:4">
      <c r="A20" s="34"/>
      <c r="B20" s="34"/>
      <c r="C20" s="34"/>
      <c r="D20" s="34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showGridLines="0" workbookViewId="0">
      <selection activeCell="A27" sqref="A27"/>
    </sheetView>
  </sheetViews>
  <sheetFormatPr baseColWidth="10" defaultColWidth="8.796875" defaultRowHeight="13.8"/>
  <cols>
    <col min="1" max="1" width="32" customWidth="1"/>
    <col min="2" max="5" width="13" customWidth="1"/>
    <col min="6" max="6" width="12" customWidth="1"/>
  </cols>
  <sheetData>
    <row r="1" spans="1:7" ht="16.8" customHeight="1">
      <c r="A1" s="50" t="s">
        <v>40</v>
      </c>
      <c r="B1" s="51"/>
      <c r="C1" s="51"/>
      <c r="D1" s="51"/>
      <c r="E1" s="51"/>
      <c r="F1" s="51"/>
      <c r="G1" s="52"/>
    </row>
    <row r="2" spans="1:7">
      <c r="A2" s="53"/>
      <c r="B2" s="53"/>
      <c r="C2" s="53"/>
      <c r="D2" s="53"/>
      <c r="E2" s="53"/>
      <c r="F2" s="53"/>
      <c r="G2" s="52"/>
    </row>
    <row r="3" spans="1:7" ht="15" customHeight="1">
      <c r="A3" s="20" t="s">
        <v>41</v>
      </c>
      <c r="B3" s="21" t="s">
        <v>42</v>
      </c>
      <c r="C3" s="21" t="s">
        <v>43</v>
      </c>
      <c r="D3" s="21" t="s">
        <v>44</v>
      </c>
      <c r="E3" s="21" t="s">
        <v>45</v>
      </c>
      <c r="F3" s="22" t="s">
        <v>46</v>
      </c>
    </row>
    <row r="4" spans="1:7" ht="15" customHeight="1">
      <c r="A4" s="54" t="s">
        <v>47</v>
      </c>
      <c r="B4" s="55">
        <v>5162500</v>
      </c>
      <c r="C4" s="55">
        <v>6453120</v>
      </c>
      <c r="D4" s="55">
        <v>8066406</v>
      </c>
      <c r="E4" s="55">
        <v>10083008</v>
      </c>
      <c r="F4" s="56" t="s">
        <v>48</v>
      </c>
    </row>
    <row r="5" spans="1:7" ht="15" customHeight="1">
      <c r="A5" s="54" t="s">
        <v>49</v>
      </c>
      <c r="B5" s="55">
        <v>37</v>
      </c>
      <c r="C5" s="55">
        <v>45</v>
      </c>
      <c r="D5" s="55">
        <v>54</v>
      </c>
      <c r="E5" s="55">
        <v>65</v>
      </c>
      <c r="F5" s="56" t="s">
        <v>50</v>
      </c>
    </row>
    <row r="6" spans="1:7" ht="15" customHeight="1">
      <c r="A6" s="54" t="s">
        <v>51</v>
      </c>
      <c r="B6" s="55">
        <f>B4*B5/1000000</f>
        <v>191.01249999999999</v>
      </c>
      <c r="C6" s="55">
        <f>C4*C5/1000000</f>
        <v>290.3904</v>
      </c>
      <c r="D6" s="55">
        <f>D4*D5/1000000</f>
        <v>435.58592399999998</v>
      </c>
      <c r="E6" s="55">
        <f>E4*E5/1000000</f>
        <v>655.39552000000003</v>
      </c>
      <c r="F6" s="56" t="s">
        <v>52</v>
      </c>
    </row>
    <row r="7" spans="1:7" ht="15" customHeight="1">
      <c r="A7" s="54"/>
      <c r="B7" s="55"/>
      <c r="C7" s="55"/>
      <c r="D7" s="55"/>
      <c r="E7" s="55"/>
      <c r="F7" s="56"/>
    </row>
    <row r="8" spans="1:7" ht="15" customHeight="1">
      <c r="A8" s="54" t="s">
        <v>53</v>
      </c>
      <c r="B8" s="55">
        <v>130.69999999999999</v>
      </c>
      <c r="C8" s="55">
        <v>187.2</v>
      </c>
      <c r="D8" s="55">
        <v>280.8</v>
      </c>
      <c r="E8" s="55">
        <v>329.1</v>
      </c>
      <c r="F8" s="56" t="s">
        <v>52</v>
      </c>
    </row>
    <row r="9" spans="1:7" ht="15" customHeight="1">
      <c r="A9" s="54" t="s">
        <v>54</v>
      </c>
      <c r="B9" s="55">
        <v>142.4</v>
      </c>
      <c r="C9" s="55">
        <v>190.1</v>
      </c>
      <c r="D9" s="55">
        <v>223.8</v>
      </c>
      <c r="E9" s="55">
        <v>164.5</v>
      </c>
      <c r="F9" s="56" t="s">
        <v>52</v>
      </c>
    </row>
    <row r="10" spans="1:7" ht="15" customHeight="1">
      <c r="A10" s="54" t="s">
        <v>55</v>
      </c>
      <c r="B10" s="55">
        <v>17.600000000000001</v>
      </c>
      <c r="C10" s="55">
        <v>26.3</v>
      </c>
      <c r="D10" s="55">
        <v>39.5</v>
      </c>
      <c r="E10" s="55">
        <v>59.2</v>
      </c>
      <c r="F10" s="56" t="s">
        <v>52</v>
      </c>
    </row>
    <row r="11" spans="1:7" ht="15" customHeight="1">
      <c r="A11" s="54" t="s">
        <v>56</v>
      </c>
      <c r="B11" s="55">
        <v>2.2999999999999998</v>
      </c>
      <c r="C11" s="55">
        <v>3.5</v>
      </c>
      <c r="D11" s="55">
        <v>5.3</v>
      </c>
      <c r="E11" s="55">
        <v>7.9</v>
      </c>
      <c r="F11" s="56" t="s">
        <v>52</v>
      </c>
    </row>
    <row r="12" spans="1:7" ht="15" customHeight="1">
      <c r="A12" s="54"/>
      <c r="B12" s="55"/>
      <c r="C12" s="55"/>
      <c r="D12" s="55"/>
      <c r="E12" s="55"/>
      <c r="F12" s="56"/>
    </row>
    <row r="13" spans="1:7" ht="15" customHeight="1">
      <c r="A13" s="54" t="s">
        <v>57</v>
      </c>
      <c r="B13" s="55">
        <f>B6-B8-B9-B10</f>
        <v>-99.6875</v>
      </c>
      <c r="C13" s="55">
        <f>C6-C8-C9-C10</f>
        <v>-113.20959999999998</v>
      </c>
      <c r="D13" s="55">
        <f>D6-D8-D9-D10</f>
        <v>-108.51407600000005</v>
      </c>
      <c r="E13" s="55">
        <f>E6-E8-E9-E10</f>
        <v>102.59552000000001</v>
      </c>
      <c r="F13" s="56" t="s">
        <v>52</v>
      </c>
    </row>
    <row r="14" spans="1:7" ht="15" customHeight="1">
      <c r="A14" s="54" t="s">
        <v>58</v>
      </c>
      <c r="B14" s="55">
        <f>B13</f>
        <v>-99.6875</v>
      </c>
      <c r="C14" s="55">
        <f>B14+C13</f>
        <v>-212.89709999999997</v>
      </c>
      <c r="D14" s="55">
        <f>C14+D13</f>
        <v>-321.41117600000001</v>
      </c>
      <c r="E14" s="55">
        <f>D14+E13</f>
        <v>-218.81565599999999</v>
      </c>
      <c r="F14" s="56" t="s">
        <v>52</v>
      </c>
    </row>
    <row r="15" spans="1:7" ht="15" customHeight="1">
      <c r="A15" s="54" t="s">
        <v>59</v>
      </c>
      <c r="B15" s="55">
        <f>IF(B14&lt;0,-B14,0)</f>
        <v>99.6875</v>
      </c>
      <c r="C15" s="55">
        <f>IF(C14&lt;0,-C14,0)</f>
        <v>212.89709999999997</v>
      </c>
      <c r="D15" s="55">
        <f>IF(D14&lt;0,-D14,0)</f>
        <v>321.41117600000001</v>
      </c>
      <c r="E15" s="55">
        <f>IF(E14&lt;0,-E14,0)</f>
        <v>218.81565599999999</v>
      </c>
      <c r="F15" s="56" t="s">
        <v>52</v>
      </c>
    </row>
    <row r="16" spans="1:7" ht="15" customHeight="1">
      <c r="A16" s="54"/>
      <c r="B16" s="55"/>
      <c r="C16" s="55"/>
      <c r="D16" s="55"/>
      <c r="E16" s="55"/>
      <c r="F16" s="56"/>
    </row>
    <row r="17" spans="1:6" ht="15" customHeight="1">
      <c r="A17" s="57" t="s">
        <v>60</v>
      </c>
      <c r="B17" s="58">
        <f>MAX(B15:E15)</f>
        <v>321.41117600000001</v>
      </c>
      <c r="C17" s="58"/>
      <c r="D17" s="58"/>
      <c r="E17" s="58"/>
      <c r="F17" s="59" t="s">
        <v>52</v>
      </c>
    </row>
    <row r="18" spans="1:6" ht="15" customHeight="1">
      <c r="A18" s="54" t="s">
        <v>61</v>
      </c>
      <c r="B18" s="55">
        <f>B13-B11</f>
        <v>-101.9875</v>
      </c>
      <c r="C18" s="55">
        <f>C13-C11</f>
        <v>-116.70959999999998</v>
      </c>
      <c r="D18" s="55">
        <f>D13-D11</f>
        <v>-113.81407600000004</v>
      </c>
      <c r="E18" s="55">
        <f>E13-E11</f>
        <v>94.695520000000002</v>
      </c>
      <c r="F18" s="56" t="s">
        <v>52</v>
      </c>
    </row>
    <row r="19" spans="1:6" ht="15" customHeight="1">
      <c r="A19" s="60" t="s">
        <v>62</v>
      </c>
      <c r="B19" s="61">
        <f>IF(SUM($B$18:B18)&lt;0,-SUM($B$18:B18),0)</f>
        <v>101.9875</v>
      </c>
      <c r="C19" s="61">
        <f>IF(SUM($B$18:C18)&lt;0,-SUM($B$18:C18),0)</f>
        <v>218.69709999999998</v>
      </c>
      <c r="D19" s="61">
        <f>IF(SUM($B$18:D18)&lt;0,-SUM($B$18:D18),0)</f>
        <v>332.51117600000003</v>
      </c>
      <c r="E19" s="61">
        <f>IF(SUM($B$18:E18)&lt;0,-SUM($B$18:E18),0)</f>
        <v>237.81565600000005</v>
      </c>
      <c r="F19" s="62" t="s">
        <v>52</v>
      </c>
    </row>
    <row r="20" spans="1:6">
      <c r="A20" s="63"/>
      <c r="B20" s="63"/>
      <c r="C20" s="63"/>
      <c r="D20" s="63"/>
      <c r="E20" s="63"/>
      <c r="F20" s="63"/>
    </row>
    <row r="21" spans="1:6">
      <c r="A21" s="34"/>
      <c r="B21" s="34"/>
      <c r="C21" s="34"/>
      <c r="D21" s="34"/>
      <c r="E21" s="34"/>
      <c r="F21" s="34"/>
    </row>
    <row r="22" spans="1:6">
      <c r="A22" s="34"/>
      <c r="B22" s="34"/>
      <c r="C22" s="34"/>
      <c r="D22" s="34"/>
      <c r="E22" s="34"/>
      <c r="F22" s="3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selection activeCell="A28" sqref="A28"/>
    </sheetView>
  </sheetViews>
  <sheetFormatPr baseColWidth="10" defaultColWidth="8.796875" defaultRowHeight="13.8"/>
  <cols>
    <col min="1" max="3" width="24" customWidth="1"/>
    <col min="4" max="4" width="32" customWidth="1"/>
  </cols>
  <sheetData>
    <row r="1" spans="1:5" ht="16.8" customHeight="1">
      <c r="A1" s="50" t="s">
        <v>63</v>
      </c>
      <c r="B1" s="51"/>
      <c r="C1" s="51"/>
      <c r="D1" s="51"/>
      <c r="E1" s="52"/>
    </row>
    <row r="2" spans="1:5">
      <c r="A2" s="52"/>
      <c r="B2" s="52"/>
      <c r="C2" s="52"/>
      <c r="D2" s="52"/>
      <c r="E2" s="52"/>
    </row>
    <row r="3" spans="1:5" ht="15" customHeight="1">
      <c r="A3" s="20" t="s">
        <v>41</v>
      </c>
      <c r="B3" s="21" t="s">
        <v>64</v>
      </c>
      <c r="C3" s="21" t="s">
        <v>46</v>
      </c>
      <c r="D3" s="22" t="s">
        <v>65</v>
      </c>
    </row>
    <row r="4" spans="1:5" ht="15" customHeight="1">
      <c r="A4" s="7" t="s">
        <v>66</v>
      </c>
      <c r="B4" s="8">
        <f>'P2 Cash balance'!E6</f>
        <v>655.39552000000003</v>
      </c>
      <c r="C4" s="9" t="s">
        <v>52</v>
      </c>
      <c r="D4" s="10" t="s">
        <v>67</v>
      </c>
    </row>
    <row r="5" spans="1:5" ht="15" customHeight="1">
      <c r="A5" s="7" t="s">
        <v>68</v>
      </c>
      <c r="B5" s="43">
        <v>6.9</v>
      </c>
      <c r="C5" s="9" t="s">
        <v>69</v>
      </c>
      <c r="D5" s="10" t="s">
        <v>70</v>
      </c>
    </row>
    <row r="6" spans="1:5" ht="15" customHeight="1">
      <c r="A6" s="4" t="s">
        <v>71</v>
      </c>
      <c r="B6" s="44">
        <f>B4*B5</f>
        <v>4522.229088</v>
      </c>
      <c r="C6" s="6" t="s">
        <v>52</v>
      </c>
      <c r="D6" s="5" t="s">
        <v>72</v>
      </c>
    </row>
    <row r="7" spans="1:5" ht="15" customHeight="1">
      <c r="A7" s="7" t="s">
        <v>73</v>
      </c>
      <c r="B7" s="43">
        <v>4.4000000000000004</v>
      </c>
      <c r="C7" s="9" t="s">
        <v>69</v>
      </c>
      <c r="D7" s="10" t="s">
        <v>74</v>
      </c>
    </row>
    <row r="8" spans="1:5" ht="15" customHeight="1">
      <c r="A8" s="39" t="s">
        <v>75</v>
      </c>
      <c r="B8" s="45">
        <f>B4*B7</f>
        <v>2883.7402880000004</v>
      </c>
      <c r="C8" s="41" t="s">
        <v>52</v>
      </c>
      <c r="D8" s="42" t="s">
        <v>76</v>
      </c>
    </row>
    <row r="9" spans="1:5">
      <c r="A9" s="34"/>
      <c r="B9" s="34"/>
      <c r="C9" s="34"/>
      <c r="D9" s="34"/>
    </row>
    <row r="10" spans="1:5">
      <c r="A10" s="34"/>
      <c r="B10" s="34"/>
      <c r="C10" s="34"/>
      <c r="D10" s="34"/>
    </row>
    <row r="11" spans="1:5">
      <c r="A11" s="34"/>
      <c r="B11" s="34"/>
      <c r="C11" s="34"/>
      <c r="D11" s="34"/>
    </row>
    <row r="12" spans="1:5">
      <c r="A12" s="34"/>
      <c r="B12" s="34"/>
      <c r="C12" s="34"/>
      <c r="D12" s="34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workbookViewId="0">
      <selection activeCell="B4" sqref="B4"/>
    </sheetView>
  </sheetViews>
  <sheetFormatPr baseColWidth="10" defaultColWidth="8.796875" defaultRowHeight="13.8"/>
  <cols>
    <col min="1" max="3" width="28" customWidth="1"/>
    <col min="4" max="4" width="34" customWidth="1"/>
  </cols>
  <sheetData>
    <row r="1" spans="1:5" ht="16.8" customHeight="1">
      <c r="A1" s="50" t="s">
        <v>77</v>
      </c>
      <c r="B1" s="51"/>
      <c r="C1" s="51"/>
      <c r="D1" s="51"/>
      <c r="E1" s="52"/>
    </row>
    <row r="2" spans="1:5">
      <c r="A2" s="53"/>
      <c r="B2" s="53"/>
      <c r="C2" s="53"/>
      <c r="D2" s="53"/>
      <c r="E2" s="52"/>
    </row>
    <row r="3" spans="1:5" ht="15" customHeight="1">
      <c r="A3" s="20" t="s">
        <v>41</v>
      </c>
      <c r="B3" s="21" t="s">
        <v>64</v>
      </c>
      <c r="C3" s="21" t="s">
        <v>46</v>
      </c>
      <c r="D3" s="22" t="s">
        <v>65</v>
      </c>
    </row>
    <row r="4" spans="1:5" ht="15" customHeight="1">
      <c r="A4" s="7" t="s">
        <v>71</v>
      </c>
      <c r="B4" s="8">
        <f>'P3 Valor terminal'!B6</f>
        <v>4522.229088</v>
      </c>
      <c r="C4" s="9" t="s">
        <v>52</v>
      </c>
      <c r="D4" s="10" t="s">
        <v>78</v>
      </c>
    </row>
    <row r="5" spans="1:5" ht="15" customHeight="1">
      <c r="A5" s="7" t="s">
        <v>79</v>
      </c>
      <c r="B5" s="29">
        <v>0.4</v>
      </c>
      <c r="C5" s="9" t="s">
        <v>80</v>
      </c>
      <c r="D5" s="10" t="s">
        <v>81</v>
      </c>
    </row>
    <row r="6" spans="1:5" ht="15" customHeight="1">
      <c r="A6" s="7" t="s">
        <v>82</v>
      </c>
      <c r="B6" s="8">
        <v>4</v>
      </c>
      <c r="C6" s="9" t="s">
        <v>83</v>
      </c>
      <c r="D6" s="10" t="s">
        <v>84</v>
      </c>
    </row>
    <row r="7" spans="1:5" ht="15" customHeight="1">
      <c r="A7" s="7" t="s">
        <v>85</v>
      </c>
      <c r="B7" s="8">
        <f>B4/(1+B5)^B6</f>
        <v>1177.1733361099546</v>
      </c>
      <c r="C7" s="9" t="s">
        <v>52</v>
      </c>
      <c r="D7" s="10" t="s">
        <v>86</v>
      </c>
    </row>
    <row r="8" spans="1:5" ht="15" customHeight="1">
      <c r="A8" s="7" t="s">
        <v>87</v>
      </c>
      <c r="B8" s="8">
        <f>'P2 Cash balance'!B17</f>
        <v>321.41117600000001</v>
      </c>
      <c r="C8" s="9" t="s">
        <v>52</v>
      </c>
      <c r="D8" s="10" t="s">
        <v>88</v>
      </c>
    </row>
    <row r="9" spans="1:5" ht="15" customHeight="1">
      <c r="A9" s="4" t="s">
        <v>89</v>
      </c>
      <c r="B9" s="38">
        <f>B7-B8</f>
        <v>855.76216010995449</v>
      </c>
      <c r="C9" s="6" t="s">
        <v>52</v>
      </c>
      <c r="D9" s="5" t="s">
        <v>90</v>
      </c>
    </row>
    <row r="10" spans="1:5" ht="15" customHeight="1">
      <c r="A10" s="7" t="s">
        <v>91</v>
      </c>
      <c r="B10" s="29">
        <v>0.3</v>
      </c>
      <c r="C10" s="9" t="s">
        <v>80</v>
      </c>
      <c r="D10" s="10" t="s">
        <v>92</v>
      </c>
    </row>
    <row r="11" spans="1:5" ht="15" customHeight="1">
      <c r="A11" s="7" t="s">
        <v>93</v>
      </c>
      <c r="B11" s="29">
        <v>0.39</v>
      </c>
      <c r="C11" s="9" t="s">
        <v>80</v>
      </c>
      <c r="D11" s="10" t="s">
        <v>92</v>
      </c>
    </row>
    <row r="12" spans="1:5" ht="15" customHeight="1">
      <c r="A12" s="39" t="s">
        <v>94</v>
      </c>
      <c r="B12" s="40">
        <v>0.13</v>
      </c>
      <c r="C12" s="41" t="s">
        <v>80</v>
      </c>
      <c r="D12" s="42" t="s">
        <v>92</v>
      </c>
    </row>
    <row r="13" spans="1:5">
      <c r="A13" s="34"/>
      <c r="B13" s="34"/>
      <c r="C13" s="34"/>
      <c r="D13" s="34"/>
    </row>
    <row r="14" spans="1:5">
      <c r="A14" s="34"/>
      <c r="B14" s="34"/>
      <c r="C14" s="34"/>
      <c r="D14" s="34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workbookViewId="0">
      <selection activeCell="E20" sqref="E20"/>
    </sheetView>
  </sheetViews>
  <sheetFormatPr baseColWidth="10" defaultColWidth="8.796875" defaultRowHeight="13.8"/>
  <cols>
    <col min="1" max="3" width="30" customWidth="1"/>
    <col min="4" max="4" width="28" customWidth="1"/>
  </cols>
  <sheetData>
    <row r="1" spans="1:5" ht="16.8" customHeight="1">
      <c r="A1" s="50" t="s">
        <v>95</v>
      </c>
      <c r="B1" s="51"/>
      <c r="C1" s="51"/>
      <c r="D1" s="51"/>
      <c r="E1" s="52"/>
    </row>
    <row r="2" spans="1:5">
      <c r="A2" s="53"/>
      <c r="B2" s="53"/>
      <c r="C2" s="53"/>
      <c r="D2" s="53"/>
      <c r="E2" s="52"/>
    </row>
    <row r="3" spans="1:5" ht="15" customHeight="1">
      <c r="A3" s="20" t="s">
        <v>41</v>
      </c>
      <c r="B3" s="21" t="s">
        <v>64</v>
      </c>
      <c r="C3" s="21" t="s">
        <v>46</v>
      </c>
      <c r="D3" s="22" t="s">
        <v>65</v>
      </c>
    </row>
    <row r="4" spans="1:5" ht="15" customHeight="1">
      <c r="A4" s="7" t="s">
        <v>96</v>
      </c>
      <c r="B4" s="8">
        <f>'P2 Cash balance'!B17</f>
        <v>321.41117600000001</v>
      </c>
      <c r="C4" s="9" t="s">
        <v>52</v>
      </c>
      <c r="D4" s="10" t="s">
        <v>97</v>
      </c>
    </row>
    <row r="5" spans="1:5" ht="15" customHeight="1">
      <c r="A5" s="7" t="s">
        <v>98</v>
      </c>
      <c r="B5" s="8">
        <f>'P4 Vpre'!B7</f>
        <v>1177.1733361099546</v>
      </c>
      <c r="C5" s="9" t="s">
        <v>52</v>
      </c>
      <c r="D5" s="10" t="s">
        <v>99</v>
      </c>
    </row>
    <row r="6" spans="1:5" ht="15" customHeight="1">
      <c r="A6" s="7" t="s">
        <v>100</v>
      </c>
      <c r="B6" s="8">
        <f>B5-B4</f>
        <v>855.76216010995449</v>
      </c>
      <c r="C6" s="9" t="s">
        <v>52</v>
      </c>
      <c r="D6" s="10" t="s">
        <v>101</v>
      </c>
    </row>
    <row r="7" spans="1:5" ht="15" customHeight="1">
      <c r="A7" s="4" t="s">
        <v>102</v>
      </c>
      <c r="B7" s="23">
        <f>B4/B5</f>
        <v>0.27303640520955397</v>
      </c>
      <c r="C7" s="6" t="s">
        <v>80</v>
      </c>
      <c r="D7" s="5" t="s">
        <v>103</v>
      </c>
    </row>
    <row r="8" spans="1:5" ht="15" customHeight="1">
      <c r="A8" s="7" t="s">
        <v>104</v>
      </c>
      <c r="B8" s="29">
        <f>1-B7</f>
        <v>0.72696359479044603</v>
      </c>
      <c r="C8" s="9" t="s">
        <v>80</v>
      </c>
      <c r="D8" s="10" t="s">
        <v>105</v>
      </c>
    </row>
    <row r="9" spans="1:5" ht="15" customHeight="1">
      <c r="A9" s="7" t="s">
        <v>106</v>
      </c>
      <c r="B9" s="24">
        <v>1000000</v>
      </c>
      <c r="C9" s="9" t="s">
        <v>107</v>
      </c>
      <c r="D9" s="10" t="s">
        <v>108</v>
      </c>
    </row>
    <row r="10" spans="1:5" ht="15" customHeight="1">
      <c r="A10" s="25" t="s">
        <v>109</v>
      </c>
      <c r="B10" s="26">
        <f>B9*B7/(1-B7)</f>
        <v>375584.70213114208</v>
      </c>
      <c r="C10" s="35" t="s">
        <v>107</v>
      </c>
      <c r="D10" s="27" t="s">
        <v>110</v>
      </c>
    </row>
    <row r="11" spans="1:5" ht="15" customHeight="1">
      <c r="A11" s="25" t="s">
        <v>111</v>
      </c>
      <c r="B11" s="26">
        <f>B9+B10</f>
        <v>1375584.7021311421</v>
      </c>
      <c r="C11" s="35" t="s">
        <v>107</v>
      </c>
      <c r="D11" s="27" t="s">
        <v>112</v>
      </c>
    </row>
    <row r="12" spans="1:5" ht="15" customHeight="1">
      <c r="A12" s="31" t="s">
        <v>113</v>
      </c>
      <c r="B12" s="36">
        <f>B4*1000000/B10</f>
        <v>855.76216010995461</v>
      </c>
      <c r="C12" s="37" t="s">
        <v>114</v>
      </c>
      <c r="D12" s="33" t="s">
        <v>115</v>
      </c>
    </row>
    <row r="13" spans="1:5">
      <c r="A13" s="34"/>
      <c r="B13" s="34"/>
      <c r="C13" s="34"/>
      <c r="D13" s="34"/>
    </row>
    <row r="14" spans="1:5">
      <c r="A14" s="34"/>
      <c r="B14" s="34"/>
      <c r="C14" s="34"/>
      <c r="D14" s="34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showGridLines="0" workbookViewId="0">
      <selection activeCell="E2" sqref="A1:E2"/>
    </sheetView>
  </sheetViews>
  <sheetFormatPr baseColWidth="10" defaultColWidth="8.796875" defaultRowHeight="13.8"/>
  <cols>
    <col min="1" max="4" width="30" customWidth="1"/>
  </cols>
  <sheetData>
    <row r="1" spans="1:5" ht="16.8" customHeight="1">
      <c r="A1" s="50" t="s">
        <v>116</v>
      </c>
      <c r="B1" s="51"/>
      <c r="C1" s="51"/>
      <c r="D1" s="51"/>
      <c r="E1" s="52"/>
    </row>
    <row r="2" spans="1:5">
      <c r="A2" s="52"/>
      <c r="B2" s="52"/>
      <c r="C2" s="52"/>
      <c r="D2" s="52"/>
      <c r="E2" s="52"/>
    </row>
    <row r="3" spans="1:5" ht="15" customHeight="1">
      <c r="A3" s="20" t="s">
        <v>41</v>
      </c>
      <c r="B3" s="21" t="s">
        <v>117</v>
      </c>
      <c r="C3" s="21" t="s">
        <v>118</v>
      </c>
      <c r="D3" s="22" t="s">
        <v>46</v>
      </c>
    </row>
    <row r="4" spans="1:5" ht="15" customHeight="1">
      <c r="A4" s="7" t="s">
        <v>119</v>
      </c>
      <c r="B4" s="8">
        <f>-SUM('P2 Cash balance'!B13:C13)</f>
        <v>212.89709999999997</v>
      </c>
      <c r="C4" s="8">
        <f>-'P2 Cash balance'!D13</f>
        <v>108.51407600000005</v>
      </c>
      <c r="D4" s="10" t="s">
        <v>52</v>
      </c>
    </row>
    <row r="5" spans="1:5" ht="15" customHeight="1">
      <c r="A5" s="7" t="s">
        <v>98</v>
      </c>
      <c r="B5" s="8">
        <f>C6/(1+'P4 Vpre'!B5)^2</f>
        <v>1121.8090116201586</v>
      </c>
      <c r="C5" s="8">
        <f>'P3 Valor terminal'!B6/(1+'P4 Vpre'!B5)^2</f>
        <v>2307.2597387755104</v>
      </c>
      <c r="D5" s="10" t="s">
        <v>52</v>
      </c>
    </row>
    <row r="6" spans="1:5" ht="15" customHeight="1">
      <c r="A6" s="7" t="s">
        <v>100</v>
      </c>
      <c r="B6" s="8">
        <f>B5-B4</f>
        <v>908.91191162015866</v>
      </c>
      <c r="C6" s="8">
        <f>C5-C4</f>
        <v>2198.7456627755105</v>
      </c>
      <c r="D6" s="10" t="s">
        <v>52</v>
      </c>
    </row>
    <row r="7" spans="1:5" ht="15" customHeight="1">
      <c r="A7" s="4" t="s">
        <v>120</v>
      </c>
      <c r="B7" s="23">
        <f>B4/B5</f>
        <v>0.1897801656028115</v>
      </c>
      <c r="C7" s="23">
        <f>C4/C5</f>
        <v>4.7031582173574324E-2</v>
      </c>
      <c r="D7" s="5" t="s">
        <v>80</v>
      </c>
    </row>
    <row r="8" spans="1:5" ht="15" customHeight="1">
      <c r="A8" s="4" t="s">
        <v>104</v>
      </c>
      <c r="B8" s="23">
        <f>1-B7</f>
        <v>0.81021983439718848</v>
      </c>
      <c r="C8" s="23">
        <f>(1-B7)*(1-C7)</f>
        <v>0.77211391367707738</v>
      </c>
      <c r="D8" s="5" t="s">
        <v>80</v>
      </c>
    </row>
    <row r="9" spans="1:5" ht="15" customHeight="1">
      <c r="A9" s="7" t="s">
        <v>121</v>
      </c>
      <c r="B9" s="24">
        <v>1000000</v>
      </c>
      <c r="C9" s="24">
        <f>B11</f>
        <v>1234232.9298122032</v>
      </c>
      <c r="D9" s="10" t="s">
        <v>107</v>
      </c>
    </row>
    <row r="10" spans="1:5" ht="15" customHeight="1">
      <c r="A10" s="25" t="s">
        <v>122</v>
      </c>
      <c r="B10" s="26">
        <f>B9*B7/(1-B7)</f>
        <v>234232.92981220313</v>
      </c>
      <c r="C10" s="26">
        <f>C9*C7/(1-C7)</f>
        <v>60912.750489877108</v>
      </c>
      <c r="D10" s="27" t="s">
        <v>107</v>
      </c>
    </row>
    <row r="11" spans="1:5" ht="15" customHeight="1">
      <c r="A11" s="25" t="s">
        <v>111</v>
      </c>
      <c r="B11" s="26">
        <f>B9+B10</f>
        <v>1234232.9298122032</v>
      </c>
      <c r="C11" s="26">
        <f>C9+C10</f>
        <v>1295145.6803020802</v>
      </c>
      <c r="D11" s="27" t="s">
        <v>107</v>
      </c>
    </row>
    <row r="12" spans="1:5" ht="15" customHeight="1">
      <c r="A12" s="25" t="s">
        <v>113</v>
      </c>
      <c r="B12" s="28">
        <f>B4*1000000/B10</f>
        <v>908.91191162015855</v>
      </c>
      <c r="C12" s="28">
        <f>C4*1000000/C10</f>
        <v>1781.4673467755104</v>
      </c>
      <c r="D12" s="27" t="s">
        <v>114</v>
      </c>
    </row>
    <row r="13" spans="1:5" ht="15" customHeight="1">
      <c r="A13" s="7"/>
      <c r="B13" s="9"/>
      <c r="C13" s="9"/>
      <c r="D13" s="10"/>
    </row>
    <row r="14" spans="1:5" ht="15" customHeight="1">
      <c r="A14" s="7" t="s">
        <v>123</v>
      </c>
      <c r="B14" s="29">
        <f>B7*(1-C7)</f>
        <v>0.18085450414934834</v>
      </c>
      <c r="C14" s="29"/>
      <c r="D14" s="10" t="s">
        <v>80</v>
      </c>
    </row>
    <row r="15" spans="1:5" ht="15" customHeight="1">
      <c r="A15" s="25" t="s">
        <v>124</v>
      </c>
      <c r="B15" s="30"/>
      <c r="C15" s="30">
        <f>C7</f>
        <v>4.7031582173574324E-2</v>
      </c>
      <c r="D15" s="27" t="s">
        <v>80</v>
      </c>
    </row>
    <row r="16" spans="1:5" ht="15" customHeight="1">
      <c r="A16" s="31" t="s">
        <v>125</v>
      </c>
      <c r="B16" s="32">
        <f>C8</f>
        <v>0.77211391367707738</v>
      </c>
      <c r="C16" s="32"/>
      <c r="D16" s="33" t="s">
        <v>80</v>
      </c>
    </row>
    <row r="17" spans="1:4">
      <c r="A17" s="34"/>
      <c r="B17" s="34"/>
      <c r="C17" s="34"/>
      <c r="D17" s="34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showGridLines="0" tabSelected="1" workbookViewId="0">
      <selection activeCell="F21" sqref="F21"/>
    </sheetView>
  </sheetViews>
  <sheetFormatPr baseColWidth="10" defaultColWidth="8.796875" defaultRowHeight="13.8"/>
  <cols>
    <col min="1" max="1" width="30" customWidth="1"/>
    <col min="2" max="2" width="25" customWidth="1"/>
    <col min="3" max="3" width="30" customWidth="1"/>
    <col min="4" max="4" width="28" customWidth="1"/>
  </cols>
  <sheetData>
    <row r="1" spans="1:5" ht="16.8" customHeight="1">
      <c r="A1" s="50" t="s">
        <v>126</v>
      </c>
      <c r="B1" s="51"/>
      <c r="C1" s="51"/>
      <c r="D1" s="51"/>
      <c r="E1" s="52"/>
    </row>
    <row r="3" spans="1:5" ht="15" customHeight="1">
      <c r="A3" s="1" t="s">
        <v>41</v>
      </c>
      <c r="B3" s="2" t="s">
        <v>64</v>
      </c>
      <c r="C3" s="2" t="s">
        <v>46</v>
      </c>
      <c r="D3" s="3" t="s">
        <v>65</v>
      </c>
    </row>
    <row r="4" spans="1:5" ht="15" customHeight="1">
      <c r="A4" s="7" t="s">
        <v>127</v>
      </c>
      <c r="B4" s="8">
        <v>2200</v>
      </c>
      <c r="C4" s="9" t="s">
        <v>52</v>
      </c>
      <c r="D4" s="10" t="s">
        <v>128</v>
      </c>
    </row>
    <row r="5" spans="1:5" ht="15" customHeight="1">
      <c r="A5" s="7" t="s">
        <v>129</v>
      </c>
      <c r="B5" s="8">
        <f>'P4 Vpre'!B9</f>
        <v>855.76216010995449</v>
      </c>
      <c r="C5" s="9" t="s">
        <v>52</v>
      </c>
      <c r="D5" s="10" t="s">
        <v>130</v>
      </c>
    </row>
    <row r="6" spans="1:5" ht="15" customHeight="1">
      <c r="A6" s="7" t="s">
        <v>131</v>
      </c>
      <c r="B6" s="8">
        <f>'P4 Vpre'!B7</f>
        <v>1177.1733361099546</v>
      </c>
      <c r="C6" s="9" t="s">
        <v>52</v>
      </c>
      <c r="D6" s="10" t="s">
        <v>99</v>
      </c>
    </row>
    <row r="7" spans="1:5" ht="15" customHeight="1">
      <c r="A7" s="11" t="s">
        <v>132</v>
      </c>
      <c r="B7" s="12">
        <f>B4-B5</f>
        <v>1344.2378398900455</v>
      </c>
      <c r="C7" s="13" t="s">
        <v>52</v>
      </c>
      <c r="D7" s="14" t="s">
        <v>133</v>
      </c>
    </row>
    <row r="8" spans="1:5" ht="15" customHeight="1">
      <c r="A8" s="11" t="s">
        <v>134</v>
      </c>
      <c r="B8" s="15">
        <f>B4/B5</f>
        <v>2.570807757750504</v>
      </c>
      <c r="C8" s="13" t="s">
        <v>69</v>
      </c>
      <c r="D8" s="14" t="s">
        <v>135</v>
      </c>
    </row>
    <row r="9" spans="1:5" ht="15" customHeight="1">
      <c r="A9" s="11" t="s">
        <v>136</v>
      </c>
      <c r="B9" s="16">
        <f>B4/B5-1</f>
        <v>1.570807757750504</v>
      </c>
      <c r="C9" s="13" t="s">
        <v>80</v>
      </c>
      <c r="D9" s="14" t="s">
        <v>137</v>
      </c>
    </row>
    <row r="10" spans="1:5" ht="15" customHeight="1">
      <c r="A10" s="11" t="s">
        <v>138</v>
      </c>
      <c r="B10" s="12">
        <f>B4-B6</f>
        <v>1022.8266638900454</v>
      </c>
      <c r="C10" s="13" t="s">
        <v>52</v>
      </c>
      <c r="D10" s="14" t="s">
        <v>139</v>
      </c>
    </row>
    <row r="11" spans="1:5" ht="15" customHeight="1">
      <c r="A11" s="11" t="s">
        <v>140</v>
      </c>
      <c r="B11" s="15">
        <f>B4/B6</f>
        <v>1.8688836490894725</v>
      </c>
      <c r="C11" s="13" t="s">
        <v>69</v>
      </c>
      <c r="D11" s="14" t="s">
        <v>141</v>
      </c>
    </row>
    <row r="12" spans="1:5" ht="15" customHeight="1">
      <c r="A12" s="11" t="s">
        <v>142</v>
      </c>
      <c r="B12" s="16">
        <f>B4/B6-1</f>
        <v>0.86888364908947247</v>
      </c>
      <c r="C12" s="13" t="s">
        <v>80</v>
      </c>
      <c r="D12" s="14" t="s">
        <v>143</v>
      </c>
    </row>
    <row r="13" spans="1:5" ht="15" customHeight="1">
      <c r="A13" s="7" t="s">
        <v>144</v>
      </c>
      <c r="B13" s="8">
        <v>1100</v>
      </c>
      <c r="C13" s="9" t="s">
        <v>52</v>
      </c>
      <c r="D13" s="10" t="s">
        <v>128</v>
      </c>
    </row>
    <row r="14" spans="1:5" ht="15" customHeight="1">
      <c r="A14" s="7" t="s">
        <v>145</v>
      </c>
      <c r="B14" s="8">
        <f>B6-B13</f>
        <v>77.173336109954562</v>
      </c>
      <c r="C14" s="9" t="s">
        <v>52</v>
      </c>
      <c r="D14" s="10" t="s">
        <v>146</v>
      </c>
    </row>
    <row r="15" spans="1:5" ht="26.4" customHeight="1">
      <c r="A15" s="17" t="s">
        <v>147</v>
      </c>
      <c r="B15" s="18" t="s">
        <v>148</v>
      </c>
      <c r="C15" s="18"/>
      <c r="D15" s="19" t="s">
        <v>149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P1 Modelo negocio</vt:lpstr>
      <vt:lpstr>P2 Cash balance</vt:lpstr>
      <vt:lpstr>P3 Valor terminal</vt:lpstr>
      <vt:lpstr>P4 Vpre</vt:lpstr>
      <vt:lpstr>P5 Una ronda</vt:lpstr>
      <vt:lpstr>P6 Dos rondas</vt:lpstr>
      <vt:lpstr>P7 PayPal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ANDRES ROQUES SANCHEZ</cp:lastModifiedBy>
  <dcterms:created xsi:type="dcterms:W3CDTF">2026-05-20T19:38:14Z</dcterms:created>
  <dcterms:modified xsi:type="dcterms:W3CDTF">2026-05-20T19:38:14Z</dcterms:modified>
</cp:coreProperties>
</file>